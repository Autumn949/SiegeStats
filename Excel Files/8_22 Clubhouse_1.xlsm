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ocuments\R\SiegeStats\Excel Files\"/>
    </mc:Choice>
  </mc:AlternateContent>
  <xr:revisionPtr revIDLastSave="0" documentId="13_ncr:1_{200EB17A-0C70-46CD-84A0-1DF5EBC4D497}" xr6:coauthVersionLast="47" xr6:coauthVersionMax="47" xr10:uidLastSave="{00000000-0000-0000-0000-000000000000}"/>
  <bookViews>
    <workbookView xWindow="-120" yWindow="-120" windowWidth="29040" windowHeight="15840" firstSheet="4" activeTab="6" xr2:uid="{18B50F8A-0BE0-44C7-B5F3-1CA4BEB09364}"/>
  </bookViews>
  <sheets>
    <sheet name="8_22 Clubhouse_1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Y89" i="1" l="1" a="1"/>
  <c r="DY97" i="1" a="1"/>
  <c r="DY90" i="1" a="1"/>
  <c r="DY98" i="1" a="1"/>
  <c r="DY91" i="1" a="1"/>
  <c r="DY99" i="1" a="1"/>
  <c r="DY92" i="1" a="1"/>
  <c r="DY93" i="1" a="1"/>
  <c r="DY101" i="1" a="1"/>
  <c r="DY94" i="1" a="1"/>
  <c r="DY102" i="1" a="1"/>
  <c r="DY95" i="1" a="1"/>
  <c r="DY96" i="1" a="1"/>
  <c r="DY88" i="1" a="1"/>
  <c r="DY96" i="1" l="1"/>
  <c r="DY95" i="1"/>
  <c r="DY102" i="1"/>
  <c r="DY94" i="1"/>
  <c r="DY101" i="1"/>
  <c r="DY93" i="1"/>
  <c r="DY92" i="1"/>
  <c r="DY99" i="1"/>
  <c r="DY91" i="1"/>
  <c r="DY98" i="1"/>
  <c r="DY90" i="1"/>
  <c r="DY97" i="1"/>
  <c r="DY89" i="1"/>
  <c r="DY88" i="1"/>
  <c r="AB6" i="1" l="1"/>
  <c r="A2" i="1" a="1"/>
  <c r="A2" i="1" s="1"/>
  <c r="EV94" i="1" l="1"/>
  <c r="A2" i="22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59" i="1" a="1"/>
  <c r="GG11" i="1" a="1"/>
  <c r="GF23" i="1" a="1"/>
  <c r="GF60" i="1" a="1"/>
  <c r="GG12" i="1" a="1"/>
  <c r="GG7" i="1" a="1"/>
  <c r="GF40" i="1" a="1"/>
  <c r="GG25" i="1" a="1"/>
  <c r="GG76" i="1" a="1"/>
  <c r="GF71" i="1" a="1"/>
  <c r="GF39" i="1" a="1"/>
  <c r="GF7" i="1" a="1"/>
  <c r="GG24" i="1" a="1"/>
  <c r="GG56" i="1" a="1"/>
  <c r="GF8" i="1" a="1"/>
  <c r="GG58" i="1" a="1"/>
  <c r="GG23" i="1" a="1"/>
  <c r="GF72" i="1" a="1"/>
  <c r="GG41" i="1" a="1"/>
  <c r="GF24" i="1" a="1"/>
  <c r="GG44" i="1" a="1"/>
  <c r="GG59" i="1" a="1"/>
  <c r="GG26" i="1" a="1"/>
  <c r="GF73" i="1" a="1"/>
  <c r="GG72" i="1" a="1"/>
  <c r="GG60" i="1" a="1"/>
  <c r="GG27" i="1" a="1"/>
  <c r="GF10" i="1" a="1"/>
  <c r="GG8" i="1" a="1"/>
  <c r="GG71" i="1" a="1"/>
  <c r="GG39" i="1" a="1"/>
  <c r="GG28" i="1" a="1"/>
  <c r="GF11" i="1" a="1"/>
  <c r="GG40" i="1" a="1"/>
  <c r="GF42" i="1" a="1"/>
  <c r="GF12" i="1" a="1"/>
  <c r="GF57" i="1" a="1"/>
  <c r="GF74" i="1" a="1"/>
  <c r="GF43" i="1" a="1"/>
  <c r="GF41" i="1" a="1"/>
  <c r="GF75" i="1" a="1"/>
  <c r="GF44" i="1" a="1"/>
  <c r="GG73" i="1" a="1"/>
  <c r="GF76" i="1" a="1"/>
  <c r="GF55" i="1" a="1"/>
  <c r="GF26" i="1" a="1"/>
  <c r="GG57" i="1" a="1"/>
  <c r="GG74" i="1" a="1"/>
  <c r="GG42" i="1" a="1"/>
  <c r="GF27" i="1" a="1"/>
  <c r="GG75" i="1" a="1"/>
  <c r="GG43" i="1" a="1"/>
  <c r="GF28" i="1" a="1"/>
  <c r="GG9" i="1" a="1"/>
  <c r="GF56" i="1" a="1"/>
  <c r="GG55" i="1" a="1"/>
  <c r="GF9" i="1" a="1"/>
  <c r="GF58" i="1" a="1"/>
  <c r="GG10" i="1" a="1"/>
  <c r="GF25" i="1" a="1"/>
  <c r="EM79" i="1" a="1"/>
  <c r="EM27" i="1" a="1"/>
  <c r="EM15" i="1" a="1"/>
  <c r="EM14" i="1" a="1"/>
  <c r="EM80" i="1" a="1"/>
  <c r="EM68" i="1" a="1"/>
  <c r="EM28" i="1" a="1"/>
  <c r="EM16" i="1" a="1"/>
  <c r="EM81" i="1" a="1"/>
  <c r="EM29" i="1" a="1"/>
  <c r="EM17" i="1" a="1"/>
  <c r="EM82" i="1" a="1"/>
  <c r="EM42" i="1" a="1"/>
  <c r="EM30" i="1" a="1"/>
  <c r="EM18" i="1" a="1"/>
  <c r="EM43" i="1" a="1"/>
  <c r="EM31" i="1" a="1"/>
  <c r="EM84" i="1" a="1"/>
  <c r="EM44" i="1" a="1"/>
  <c r="EM32" i="1" a="1"/>
  <c r="EM20" i="1" a="1"/>
  <c r="EM52" i="1" a="1"/>
  <c r="EM45" i="1" a="1"/>
  <c r="EM33" i="1" a="1"/>
  <c r="EM58" i="1" a="1"/>
  <c r="EM46" i="1" a="1"/>
  <c r="EM34" i="1" a="1"/>
  <c r="EM64" i="1" a="1"/>
  <c r="EM59" i="1" a="1"/>
  <c r="EM47" i="1" a="1"/>
  <c r="EM66" i="1" a="1"/>
  <c r="EM60" i="1" a="1"/>
  <c r="EM48" i="1" a="1"/>
  <c r="EM36" i="1" a="1"/>
  <c r="EM26" i="1" a="1"/>
  <c r="EM61" i="1" a="1"/>
  <c r="EM49" i="1" a="1"/>
  <c r="EM74" i="1" a="1"/>
  <c r="EM62" i="1" a="1"/>
  <c r="EM50" i="1" a="1"/>
  <c r="EM10" i="1" a="1"/>
  <c r="EM12" i="1" a="1"/>
  <c r="EM75" i="1" a="1"/>
  <c r="EM63" i="1" a="1"/>
  <c r="EM11" i="1" a="1"/>
  <c r="EM76" i="1" a="1"/>
  <c r="EM77" i="1" a="1"/>
  <c r="EM65" i="1" a="1"/>
  <c r="EM13" i="1" a="1"/>
  <c r="EM78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FF102" i="1" a="1"/>
  <c r="GA91" i="1" a="1"/>
  <c r="EY91" i="1" a="1"/>
  <c r="FM99" i="1" a="1"/>
  <c r="GA96" i="1" a="1"/>
  <c r="GA101" i="1" a="1"/>
  <c r="FF100" i="1" a="1"/>
  <c r="FF89" i="1" a="1"/>
  <c r="EY96" i="1" a="1"/>
  <c r="EY99" i="1" a="1"/>
  <c r="FM95" i="1" a="1"/>
  <c r="FF101" i="1" a="1"/>
  <c r="FT97" i="1" a="1"/>
  <c r="EY89" i="1" a="1"/>
  <c r="EY92" i="1" a="1"/>
  <c r="FT99" i="1" a="1"/>
  <c r="EY93" i="1" a="1"/>
  <c r="EY100" i="1" a="1"/>
  <c r="FM96" i="1" a="1"/>
  <c r="FT92" i="1" a="1"/>
  <c r="GA92" i="1" a="1"/>
  <c r="GA97" i="1" a="1"/>
  <c r="FF98" i="1" a="1"/>
  <c r="FM91" i="1" a="1"/>
  <c r="FF93" i="1" a="1"/>
  <c r="GA90" i="1" a="1"/>
  <c r="FF90" i="1" a="1"/>
  <c r="FF96" i="1" a="1"/>
  <c r="FF97" i="1" a="1"/>
  <c r="FM89" i="1" a="1"/>
  <c r="GA95" i="1" a="1"/>
  <c r="FM90" i="1" a="1"/>
  <c r="FF99" i="1" a="1"/>
  <c r="FM92" i="1" a="1"/>
  <c r="FT91" i="1" a="1"/>
  <c r="FT93" i="1" a="1"/>
  <c r="EY94" i="1" a="1"/>
  <c r="FM94" i="1" a="1"/>
  <c r="FT94" i="1" a="1"/>
  <c r="FF88" i="1" a="1"/>
  <c r="EY98" i="1" a="1"/>
  <c r="FT98" i="1" a="1"/>
  <c r="FT102" i="1" a="1"/>
  <c r="EY102" i="1" a="1"/>
  <c r="FT101" i="1" a="1"/>
  <c r="FT95" i="1" a="1"/>
  <c r="FM102" i="1" a="1"/>
  <c r="FM100" i="1" a="1"/>
  <c r="FT96" i="1" a="1"/>
  <c r="FF92" i="1" a="1"/>
  <c r="EY88" i="1" a="1"/>
  <c r="GA98" i="1" a="1"/>
  <c r="GA93" i="1" a="1"/>
  <c r="FM98" i="1" a="1"/>
  <c r="EY95" i="1" a="1"/>
  <c r="GA88" i="1" a="1"/>
  <c r="FT89" i="1" a="1"/>
  <c r="FT88" i="1" a="1"/>
  <c r="FT90" i="1" a="1"/>
  <c r="EY90" i="1" a="1"/>
  <c r="EY97" i="1" a="1"/>
  <c r="GA89" i="1" a="1"/>
  <c r="FM93" i="1" a="1"/>
  <c r="GA99" i="1" a="1"/>
  <c r="EY101" i="1" a="1"/>
  <c r="GA94" i="1" a="1"/>
  <c r="FM101" i="1" a="1"/>
  <c r="FM88" i="1" a="1"/>
  <c r="FF94" i="1" a="1"/>
  <c r="GA102" i="1" a="1"/>
  <c r="FF95" i="1" a="1"/>
  <c r="GA100" i="1" a="1"/>
  <c r="FF91" i="1" a="1"/>
  <c r="FT100" i="1" a="1"/>
  <c r="FM97" i="1" a="1"/>
  <c r="FD15" i="1" a="1"/>
  <c r="EP18" i="1" a="1"/>
  <c r="FR17" i="1" a="1"/>
  <c r="EP41" i="1" a="1"/>
  <c r="FR28" i="1" a="1"/>
  <c r="EP58" i="1" a="1"/>
  <c r="EW82" i="1" a="1"/>
  <c r="EP9" i="1" a="1"/>
  <c r="FR83" i="1" a="1"/>
  <c r="FK14" i="1" a="1"/>
  <c r="EW37" i="1" a="1"/>
  <c r="EW49" i="1" a="1"/>
  <c r="EP62" i="1" a="1"/>
  <c r="FD81" i="1" a="1"/>
  <c r="FK43" i="1" a="1"/>
  <c r="FD72" i="1" a="1"/>
  <c r="FD35" i="1" a="1"/>
  <c r="FD85" i="1" a="1"/>
  <c r="FK40" i="1" a="1"/>
  <c r="EW67" i="1" a="1"/>
  <c r="FD12" i="1" a="1"/>
  <c r="EP19" i="1" a="1"/>
  <c r="FR12" i="1" a="1"/>
  <c r="EP11" i="1" a="1"/>
  <c r="FK67" i="1" a="1"/>
  <c r="FK56" i="1" a="1"/>
  <c r="EP8" i="1" a="1"/>
  <c r="FD80" i="1" a="1"/>
  <c r="FK60" i="1" a="1"/>
  <c r="FR53" i="1" a="1"/>
  <c r="EW27" i="1" a="1"/>
  <c r="FD8" i="1" a="1"/>
  <c r="EW39" i="1" a="1"/>
  <c r="FD48" i="1" a="1"/>
  <c r="EW35" i="1" a="1"/>
  <c r="EW63" i="1" a="1"/>
  <c r="FK7" i="1" a="1"/>
  <c r="FR27" i="1" a="1"/>
  <c r="EP68" i="1" a="1"/>
  <c r="FK48" i="1" a="1"/>
  <c r="FR19" i="1" a="1"/>
  <c r="EW57" i="1" a="1"/>
  <c r="FD19" i="1" a="1"/>
  <c r="EP30" i="1" a="1"/>
  <c r="EW73" i="1" a="1"/>
  <c r="FR30" i="1" a="1"/>
  <c r="FR44" i="1" a="1"/>
  <c r="FD44" i="1" a="1"/>
  <c r="FR7" i="1" a="1"/>
  <c r="EW76" i="1" a="1"/>
  <c r="EP83" i="1" a="1"/>
  <c r="FK36" i="1" a="1"/>
  <c r="EP80" i="1" a="1"/>
  <c r="FD7" i="1" a="1"/>
  <c r="FR23" i="1" a="1"/>
  <c r="EP74" i="1" a="1"/>
  <c r="EW14" i="1" a="1"/>
  <c r="FK72" i="1" a="1"/>
  <c r="EP7" i="1" a="1"/>
  <c r="FD25" i="1" a="1"/>
  <c r="FK64" i="1" a="1"/>
  <c r="FK37" i="1" a="1"/>
  <c r="EP82" i="1" a="1"/>
  <c r="FD34" i="1" a="1"/>
  <c r="FK26" i="1" a="1"/>
  <c r="FR74" i="1" a="1"/>
  <c r="FD13" i="1" a="1"/>
  <c r="FD58" i="1" a="1"/>
  <c r="EW28" i="1" a="1"/>
  <c r="FR16" i="1" a="1"/>
  <c r="EP35" i="1" a="1"/>
  <c r="EW7" i="1" a="1"/>
  <c r="FD55" i="1" a="1"/>
  <c r="EW32" i="1" a="1"/>
  <c r="EW19" i="1" a="1"/>
  <c r="FD47" i="1" a="1"/>
  <c r="EP24" i="1" a="1"/>
  <c r="FK20" i="1" a="1"/>
  <c r="FD57" i="1" a="1"/>
  <c r="FD43" i="1" a="1"/>
  <c r="FK35" i="1" a="1"/>
  <c r="EW80" i="1" a="1"/>
  <c r="EP12" i="1" a="1"/>
  <c r="FR24" i="1" a="1"/>
  <c r="EP71" i="1" a="1"/>
  <c r="FD51" i="1" a="1"/>
  <c r="FK18" i="1" a="1"/>
  <c r="FR20" i="1" a="1"/>
  <c r="FR85" i="1" a="1"/>
  <c r="FD67" i="1" a="1"/>
  <c r="FR51" i="1" a="1"/>
  <c r="EP27" i="1" a="1"/>
  <c r="FR40" i="1" a="1"/>
  <c r="FR68" i="1" a="1"/>
  <c r="FK33" i="1" a="1"/>
  <c r="FR59" i="1" a="1"/>
  <c r="FK52" i="1" a="1"/>
  <c r="FD60" i="1" a="1"/>
  <c r="EW9" i="1" a="1"/>
  <c r="FR58" i="1" a="1"/>
  <c r="FD59" i="1" a="1"/>
  <c r="FR26" i="1" a="1"/>
  <c r="FR77" i="1" a="1"/>
  <c r="EP65" i="1" a="1"/>
  <c r="FD71" i="1" a="1"/>
  <c r="EP40" i="1" a="1"/>
  <c r="EP44" i="1" a="1"/>
  <c r="EP20" i="1" a="1"/>
  <c r="EP79" i="1" a="1"/>
  <c r="FK39" i="1" a="1"/>
  <c r="FD9" i="1" a="1"/>
  <c r="EP49" i="1" a="1"/>
  <c r="EW61" i="1" a="1"/>
  <c r="EP57" i="1" a="1"/>
  <c r="FR60" i="1" a="1"/>
  <c r="FD52" i="1" a="1"/>
  <c r="EW45" i="1" a="1"/>
  <c r="FR37" i="1" a="1"/>
  <c r="FD65" i="1" a="1"/>
  <c r="FR15" i="1" a="1"/>
  <c r="FK21" i="1" a="1"/>
  <c r="EW71" i="1" a="1"/>
  <c r="FK45" i="1" a="1"/>
  <c r="EW48" i="1" a="1"/>
  <c r="FK24" i="1" a="1"/>
  <c r="EP47" i="1" a="1"/>
  <c r="FR72" i="1" a="1"/>
  <c r="FD76" i="1" a="1"/>
  <c r="EW16" i="1" a="1"/>
  <c r="FK76" i="1" a="1"/>
  <c r="EW26" i="1" a="1"/>
  <c r="EP33" i="1" a="1"/>
  <c r="FR8" i="1" a="1"/>
  <c r="EP84" i="1" a="1"/>
  <c r="FD61" i="1" a="1"/>
  <c r="FR63" i="1" a="1"/>
  <c r="FD83" i="1" a="1"/>
  <c r="FR25" i="1" a="1"/>
  <c r="FK32" i="1" a="1"/>
  <c r="EP16" i="1" a="1"/>
  <c r="FD27" i="1" a="1"/>
  <c r="FR56" i="1" a="1"/>
  <c r="FD66" i="1" a="1"/>
  <c r="FK75" i="1" a="1"/>
  <c r="FR13" i="1" a="1"/>
  <c r="FD42" i="1" a="1"/>
  <c r="EW62" i="1" a="1"/>
  <c r="FR48" i="1" a="1"/>
  <c r="EP46" i="1" a="1"/>
  <c r="FK15" i="1" a="1"/>
  <c r="FR39" i="1" a="1"/>
  <c r="FK42" i="1" a="1"/>
  <c r="EP64" i="1" a="1"/>
  <c r="FR50" i="1" a="1"/>
  <c r="FR36" i="1" a="1"/>
  <c r="EP10" i="1" a="1"/>
  <c r="FR67" i="1" a="1"/>
  <c r="FD11" i="1" a="1"/>
  <c r="EW74" i="1" a="1"/>
  <c r="EW30" i="1" a="1"/>
  <c r="FK28" i="1" a="1"/>
  <c r="EP75" i="1" a="1"/>
  <c r="FR29" i="1" a="1"/>
  <c r="EP56" i="1" a="1"/>
  <c r="FD26" i="1" a="1"/>
  <c r="EW11" i="1" a="1"/>
  <c r="EW20" i="1" a="1"/>
  <c r="FK34" i="1" a="1"/>
  <c r="FR41" i="1" a="1"/>
  <c r="FK25" i="1" a="1"/>
  <c r="FK8" i="1" a="1"/>
  <c r="FR31" i="1" a="1"/>
  <c r="FD64" i="1" a="1"/>
  <c r="FD31" i="1" a="1"/>
  <c r="EP51" i="1" a="1"/>
  <c r="EW72" i="1" a="1"/>
  <c r="FR34" i="1" a="1"/>
  <c r="FR78" i="1" a="1"/>
  <c r="FK58" i="1" a="1"/>
  <c r="EW24" i="1" a="1"/>
  <c r="FK57" i="1" a="1"/>
  <c r="EW51" i="1" a="1"/>
  <c r="FK55" i="1" a="1"/>
  <c r="EP42" i="1" a="1"/>
  <c r="EP78" i="1" a="1"/>
  <c r="FK65" i="1" a="1"/>
  <c r="EP66" i="1" a="1"/>
  <c r="FR45" i="1" a="1"/>
  <c r="EW50" i="1" a="1"/>
  <c r="FD21" i="1" a="1"/>
  <c r="FD78" i="1" a="1"/>
  <c r="FK47" i="1" a="1"/>
  <c r="FK30" i="1" a="1"/>
  <c r="FD20" i="1" a="1"/>
  <c r="EW33" i="1" a="1"/>
  <c r="FD77" i="1" a="1"/>
  <c r="FK31" i="1" a="1"/>
  <c r="EP76" i="1" a="1"/>
  <c r="FD39" i="1" a="1"/>
  <c r="EW21" i="1" a="1"/>
  <c r="EP48" i="1" a="1"/>
  <c r="FK44" i="1" a="1"/>
  <c r="EP60" i="1" a="1"/>
  <c r="FR82" i="1" a="1"/>
  <c r="EW34" i="1" a="1"/>
  <c r="EP34" i="1" a="1"/>
  <c r="FR80" i="1" a="1"/>
  <c r="EP63" i="1" a="1"/>
  <c r="FR61" i="1" a="1"/>
  <c r="FK63" i="1" a="1"/>
  <c r="FK23" i="1" a="1"/>
  <c r="FR62" i="1" a="1"/>
  <c r="FK81" i="1" a="1"/>
  <c r="EW78" i="1" a="1"/>
  <c r="EW52" i="1" a="1"/>
  <c r="EW56" i="1" a="1"/>
  <c r="FK59" i="1" a="1"/>
  <c r="FR57" i="1" a="1"/>
  <c r="FK79" i="1" a="1"/>
  <c r="EP61" i="1" a="1"/>
  <c r="FD23" i="1" a="1"/>
  <c r="FR11" i="1" a="1"/>
  <c r="FK19" i="1" a="1"/>
  <c r="FK85" i="1" a="1"/>
  <c r="EW65" i="1" a="1"/>
  <c r="FK27" i="1" a="1"/>
  <c r="FR66" i="1" a="1"/>
  <c r="FK49" i="1" a="1"/>
  <c r="EW12" i="1" a="1"/>
  <c r="FK11" i="1" a="1"/>
  <c r="FR35" i="1" a="1"/>
  <c r="EW10" i="1" a="1"/>
  <c r="EW25" i="1" a="1"/>
  <c r="EW15" i="1" a="1"/>
  <c r="FR49" i="1" a="1"/>
  <c r="FD49" i="1" a="1"/>
  <c r="FR75" i="1" a="1"/>
  <c r="FR14" i="1" a="1"/>
  <c r="FK46" i="1" a="1"/>
  <c r="EW43" i="1" a="1"/>
  <c r="EW58" i="1" a="1"/>
  <c r="FK69" i="1" a="1"/>
  <c r="EW66" i="1" a="1"/>
  <c r="FD56" i="1" a="1"/>
  <c r="EW85" i="1" a="1"/>
  <c r="FD24" i="1" a="1"/>
  <c r="FR55" i="1" a="1"/>
  <c r="FR79" i="1" a="1"/>
  <c r="FR52" i="1" a="1"/>
  <c r="EW84" i="1" a="1"/>
  <c r="EW31" i="1" a="1"/>
  <c r="EW53" i="1" a="1"/>
  <c r="EW46" i="1" a="1"/>
  <c r="FD84" i="1" a="1"/>
  <c r="EP28" i="1" a="1"/>
  <c r="EP77" i="1" a="1"/>
  <c r="EW8" i="1" a="1"/>
  <c r="EW55" i="1" a="1"/>
  <c r="FR10" i="1" a="1"/>
  <c r="EP43" i="1" a="1"/>
  <c r="FK50" i="1" a="1"/>
  <c r="FD46" i="1" a="1"/>
  <c r="EW18" i="1" a="1"/>
  <c r="FK82" i="1" a="1"/>
  <c r="FD53" i="1" a="1"/>
  <c r="FD69" i="1" a="1"/>
  <c r="FD50" i="1" a="1"/>
  <c r="FK16" i="1" a="1"/>
  <c r="FK73" i="1" a="1"/>
  <c r="EP14" i="1" a="1"/>
  <c r="EP23" i="1" a="1"/>
  <c r="EP85" i="1" a="1"/>
  <c r="EP72" i="1" a="1"/>
  <c r="FK68" i="1" a="1"/>
  <c r="EP55" i="1" a="1"/>
  <c r="EP73" i="1" a="1"/>
  <c r="FR69" i="1" a="1"/>
  <c r="EP59" i="1" a="1"/>
  <c r="FK12" i="1" a="1"/>
  <c r="FD41" i="1" a="1"/>
  <c r="EW36" i="1" a="1"/>
  <c r="FR43" i="1" a="1"/>
  <c r="EW13" i="1" a="1"/>
  <c r="FR84" i="1" a="1"/>
  <c r="FD40" i="1" a="1"/>
  <c r="FR32" i="1" a="1"/>
  <c r="EW77" i="1" a="1"/>
  <c r="FK9" i="1" a="1"/>
  <c r="FD63" i="1" a="1"/>
  <c r="EW17" i="1" a="1"/>
  <c r="EP15" i="1" a="1"/>
  <c r="FK80" i="1" a="1"/>
  <c r="EP45" i="1" a="1"/>
  <c r="FR33" i="1" a="1"/>
  <c r="FD79" i="1" a="1"/>
  <c r="FK74" i="1" a="1"/>
  <c r="FD16" i="1" a="1"/>
  <c r="FD29" i="1" a="1"/>
  <c r="FD45" i="1" a="1"/>
  <c r="EW41" i="1" a="1"/>
  <c r="EP32" i="1" a="1"/>
  <c r="EW79" i="1" a="1"/>
  <c r="FK61" i="1" a="1"/>
  <c r="EP31" i="1" a="1"/>
  <c r="FD10" i="1" a="1"/>
  <c r="FR42" i="1" a="1"/>
  <c r="EP53" i="1" a="1"/>
  <c r="FR65" i="1" a="1"/>
  <c r="EP37" i="1" a="1"/>
  <c r="FK17" i="1" a="1"/>
  <c r="FD75" i="1" a="1"/>
  <c r="FD32" i="1" a="1"/>
  <c r="FK62" i="1" a="1"/>
  <c r="FK10" i="1" a="1"/>
  <c r="FD74" i="1" a="1"/>
  <c r="EW81" i="1" a="1"/>
  <c r="FR64" i="1" a="1"/>
  <c r="FD37" i="1" a="1"/>
  <c r="EW64" i="1" a="1"/>
  <c r="EW23" i="1" a="1"/>
  <c r="FR46" i="1" a="1"/>
  <c r="FR71" i="1" a="1"/>
  <c r="FR47" i="1" a="1"/>
  <c r="FD14" i="1" a="1"/>
  <c r="FD33" i="1" a="1"/>
  <c r="EW60" i="1" a="1"/>
  <c r="EW59" i="1" a="1"/>
  <c r="FK53" i="1" a="1"/>
  <c r="FK41" i="1" a="1"/>
  <c r="EW75" i="1" a="1"/>
  <c r="FD62" i="1" a="1"/>
  <c r="FD73" i="1" a="1"/>
  <c r="EP50" i="1" a="1"/>
  <c r="FK29" i="1" a="1"/>
  <c r="FD36" i="1" a="1"/>
  <c r="FK78" i="1" a="1"/>
  <c r="FD17" i="1" a="1"/>
  <c r="EW44" i="1" a="1"/>
  <c r="FR76" i="1" a="1"/>
  <c r="EW29" i="1" a="1"/>
  <c r="EP21" i="1" a="1"/>
  <c r="FD82" i="1" a="1"/>
  <c r="FD28" i="1" a="1"/>
  <c r="FK77" i="1" a="1"/>
  <c r="FK84" i="1" a="1"/>
  <c r="EP67" i="1" a="1"/>
  <c r="EP25" i="1" a="1"/>
  <c r="FD30" i="1" a="1"/>
  <c r="FK51" i="1" a="1"/>
  <c r="FR9" i="1" a="1"/>
  <c r="FR81" i="1" a="1"/>
  <c r="EP39" i="1" a="1"/>
  <c r="EW83" i="1" a="1"/>
  <c r="FD18" i="1" a="1"/>
  <c r="FK71" i="1" a="1"/>
  <c r="EW40" i="1" a="1"/>
  <c r="FK83" i="1" a="1"/>
  <c r="FK13" i="1" a="1"/>
  <c r="EP52" i="1" a="1"/>
  <c r="EW69" i="1" a="1"/>
  <c r="EP26" i="1" a="1"/>
  <c r="FD68" i="1" a="1"/>
  <c r="EP81" i="1" a="1"/>
  <c r="FR73" i="1" a="1"/>
  <c r="EP36" i="1" a="1"/>
  <c r="FR21" i="1" a="1"/>
  <c r="EW47" i="1" a="1"/>
  <c r="EW42" i="1" a="1"/>
  <c r="EP13" i="1" a="1"/>
  <c r="EP69" i="1" a="1"/>
  <c r="EP29" i="1" a="1"/>
  <c r="FR18" i="1" a="1"/>
  <c r="FK66" i="1" a="1"/>
  <c r="EW68" i="1" a="1"/>
  <c r="EP17" i="1" a="1"/>
  <c r="GG95" i="1" a="1"/>
  <c r="GG92" i="1" a="1"/>
  <c r="FC50" i="1" a="1"/>
  <c r="FQ68" i="1" a="1"/>
  <c r="FJ67" i="1" a="1"/>
  <c r="FQ16" i="1" a="1"/>
  <c r="FJ84" i="1" a="1"/>
  <c r="EV39" i="1" a="1"/>
  <c r="FS96" i="1" a="1"/>
  <c r="FX10" i="1" a="1"/>
  <c r="FL95" i="1" a="1"/>
  <c r="FX60" i="1" a="1"/>
  <c r="FL101" i="1" a="1"/>
  <c r="FS101" i="1" a="1"/>
  <c r="FJ58" i="1" a="1"/>
  <c r="FQ37" i="1" a="1"/>
  <c r="FJ76" i="1" a="1"/>
  <c r="FJ7" i="1" a="1"/>
  <c r="FZ102" i="1" a="1"/>
  <c r="FJ69" i="1" a="1"/>
  <c r="FJ71" i="1" a="1"/>
  <c r="EV46" i="1" a="1"/>
  <c r="FJ85" i="1" a="1"/>
  <c r="FC20" i="1" a="1"/>
  <c r="EV11" i="1" a="1"/>
  <c r="FL91" i="1" a="1"/>
  <c r="FQ47" i="1" a="1"/>
  <c r="FQ48" i="1" a="1"/>
  <c r="FQ39" i="1" a="1"/>
  <c r="FJ44" i="1" a="1"/>
  <c r="FC32" i="1" a="1"/>
  <c r="FQ21" i="1" a="1"/>
  <c r="FX82" i="1" a="1"/>
  <c r="EV71" i="1" a="1"/>
  <c r="FX84" i="1" a="1"/>
  <c r="FQ85" i="1" a="1"/>
  <c r="FJ9" i="1" a="1"/>
  <c r="EV55" i="1" a="1"/>
  <c r="EV84" i="1" a="1"/>
  <c r="FE100" i="1" a="1"/>
  <c r="FC85" i="1" a="1"/>
  <c r="FC76" i="1" a="1"/>
  <c r="FE99" i="1" a="1"/>
  <c r="EV66" i="1" a="1"/>
  <c r="DV7" i="1" a="1"/>
  <c r="FC39" i="1" a="1"/>
  <c r="GG102" i="1" a="1"/>
  <c r="FL90" i="1" a="1"/>
  <c r="FX83" i="1" a="1"/>
  <c r="FC49" i="1" a="1"/>
  <c r="FQ51" i="1" a="1"/>
  <c r="FL102" i="1" a="1"/>
  <c r="FX14" i="1" a="1"/>
  <c r="FC67" i="1" a="1"/>
  <c r="FX31" i="1" a="1"/>
  <c r="FZ88" i="1" a="1"/>
  <c r="FQ63" i="1" a="1"/>
  <c r="FL97" i="1" a="1"/>
  <c r="GG99" i="1" a="1"/>
  <c r="FX85" i="1" a="1"/>
  <c r="FS95" i="1" a="1"/>
  <c r="FC13" i="1" a="1"/>
  <c r="FS88" i="1" a="1"/>
  <c r="FC18" i="1" a="1"/>
  <c r="EV19" i="1" a="1"/>
  <c r="EV21" i="1" a="1"/>
  <c r="FE101" i="1" a="1"/>
  <c r="FQ43" i="1" a="1"/>
  <c r="FJ55" i="1" a="1"/>
  <c r="E98" i="1" a="1"/>
  <c r="EM78" i="1" l="1"/>
  <c r="EM13" i="1"/>
  <c r="EM65" i="1"/>
  <c r="EM77" i="1"/>
  <c r="EM76" i="1"/>
  <c r="EM11" i="1"/>
  <c r="EM63" i="1"/>
  <c r="EM75" i="1"/>
  <c r="EM12" i="1"/>
  <c r="EM10" i="1"/>
  <c r="EM50" i="1"/>
  <c r="EM62" i="1"/>
  <c r="EM74" i="1"/>
  <c r="EM49" i="1"/>
  <c r="EM61" i="1"/>
  <c r="EM26" i="1"/>
  <c r="EM36" i="1"/>
  <c r="EM48" i="1"/>
  <c r="EM60" i="1"/>
  <c r="EM66" i="1"/>
  <c r="EM47" i="1"/>
  <c r="EM59" i="1"/>
  <c r="EM64" i="1"/>
  <c r="EM34" i="1"/>
  <c r="EM46" i="1"/>
  <c r="EM58" i="1"/>
  <c r="EM33" i="1"/>
  <c r="EM45" i="1"/>
  <c r="EM52" i="1"/>
  <c r="EM20" i="1"/>
  <c r="EM32" i="1"/>
  <c r="EM44" i="1"/>
  <c r="EM84" i="1"/>
  <c r="EM31" i="1"/>
  <c r="EM43" i="1"/>
  <c r="EM18" i="1"/>
  <c r="EM30" i="1"/>
  <c r="EM42" i="1"/>
  <c r="EM82" i="1"/>
  <c r="EM17" i="1"/>
  <c r="EM29" i="1"/>
  <c r="EM81" i="1"/>
  <c r="EM16" i="1"/>
  <c r="EM28" i="1"/>
  <c r="EM68" i="1"/>
  <c r="EM80" i="1"/>
  <c r="EM14" i="1"/>
  <c r="EM15" i="1"/>
  <c r="EM27" i="1"/>
  <c r="EM79" i="1"/>
  <c r="GF13" i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4" i="1"/>
  <c r="FX10" i="1"/>
  <c r="FQ21" i="1"/>
  <c r="FQ16" i="1"/>
  <c r="FJ9" i="1"/>
  <c r="FJ7" i="1"/>
  <c r="FX31" i="1"/>
  <c r="FQ37" i="1"/>
  <c r="FQ47" i="1"/>
  <c r="FQ51" i="1"/>
  <c r="FQ43" i="1"/>
  <c r="FQ48" i="1"/>
  <c r="FQ39" i="1"/>
  <c r="FJ44" i="1"/>
  <c r="FX60" i="1"/>
  <c r="FQ63" i="1"/>
  <c r="FQ68" i="1"/>
  <c r="FJ69" i="1"/>
  <c r="FJ67" i="1"/>
  <c r="FJ58" i="1"/>
  <c r="FJ55" i="1"/>
  <c r="FX85" i="1"/>
  <c r="FX84" i="1"/>
  <c r="FX83" i="1"/>
  <c r="FX82" i="1"/>
  <c r="FQ85" i="1"/>
  <c r="FJ85" i="1"/>
  <c r="FJ84" i="1"/>
  <c r="FJ76" i="1"/>
  <c r="FJ71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76" i="1"/>
  <c r="FC67" i="1"/>
  <c r="FC50" i="1"/>
  <c r="FC49" i="1"/>
  <c r="FC39" i="1"/>
  <c r="FC32" i="1"/>
  <c r="FC13" i="1"/>
  <c r="FC20" i="1"/>
  <c r="FC18" i="1"/>
  <c r="FE101" i="1"/>
  <c r="FE100" i="1"/>
  <c r="FE99" i="1"/>
  <c r="EV84" i="1"/>
  <c r="EV71" i="1"/>
  <c r="EV66" i="1"/>
  <c r="EV55" i="1"/>
  <c r="EV46" i="1"/>
  <c r="EV39" i="1"/>
  <c r="EV21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EV60" i="1" a="1"/>
  <c r="FX53" i="1" a="1"/>
  <c r="EV25" i="1" a="1"/>
  <c r="FQ56" i="1" a="1"/>
  <c r="FX42" i="1" a="1"/>
  <c r="FC80" i="1" a="1"/>
  <c r="FQ52" i="1" a="1"/>
  <c r="FJ39" i="1" a="1"/>
  <c r="FX44" i="1" a="1"/>
  <c r="EV63" i="1" a="1"/>
  <c r="FX33" i="1" a="1"/>
  <c r="FQ11" i="1" a="1"/>
  <c r="FJ62" i="1" a="1"/>
  <c r="FX47" i="1" a="1"/>
  <c r="FC77" i="1" a="1"/>
  <c r="FJ35" i="1" a="1"/>
  <c r="FQ19" i="1" a="1"/>
  <c r="FJ41" i="1" a="1"/>
  <c r="FQ65" i="1" a="1"/>
  <c r="FQ62" i="1" a="1"/>
  <c r="FC8" i="1" a="1"/>
  <c r="FL96" i="1" a="1"/>
  <c r="FJ27" i="1" a="1"/>
  <c r="FJ73" i="1" a="1"/>
  <c r="FX27" i="1" a="1"/>
  <c r="FJ65" i="1" a="1"/>
  <c r="FJ49" i="1" a="1"/>
  <c r="FC40" i="1" a="1"/>
  <c r="FJ25" i="1" a="1"/>
  <c r="FJ81" i="1" a="1"/>
  <c r="FJ42" i="1" a="1"/>
  <c r="GG96" i="1" a="1"/>
  <c r="FC46" i="1" a="1"/>
  <c r="FC31" i="1" a="1"/>
  <c r="FX37" i="1" a="1"/>
  <c r="FQ13" i="1" a="1"/>
  <c r="FC44" i="1" a="1"/>
  <c r="FQ84" i="1" a="1"/>
  <c r="FL88" i="1" a="1"/>
  <c r="FQ78" i="1" a="1"/>
  <c r="FX66" i="1" a="1"/>
  <c r="FC84" i="1" a="1"/>
  <c r="FQ30" i="1" a="1"/>
  <c r="FQ58" i="1" a="1"/>
  <c r="EV8" i="1" a="1"/>
  <c r="FX43" i="1" a="1"/>
  <c r="FQ32" i="1" a="1"/>
  <c r="GG97" i="1" a="1"/>
  <c r="FQ36" i="1" a="1"/>
  <c r="DX7" i="1" a="1"/>
  <c r="FX58" i="1" a="1"/>
  <c r="FZ89" i="1" a="1"/>
  <c r="FL93" i="1" a="1"/>
  <c r="FQ29" i="1" a="1"/>
  <c r="FC65" i="1" a="1"/>
  <c r="FQ27" i="1" a="1"/>
  <c r="FX73" i="1" a="1"/>
  <c r="GG100" i="1" a="1"/>
  <c r="FC66" i="1" a="1"/>
  <c r="FQ79" i="1" a="1"/>
  <c r="FJ13" i="1" a="1"/>
  <c r="FE96" i="1" a="1"/>
  <c r="FX74" i="1" a="1"/>
  <c r="FC78" i="1" a="1"/>
  <c r="EV29" i="1" a="1"/>
  <c r="FJ64" i="1" a="1"/>
  <c r="EV10" i="1" a="1"/>
  <c r="FQ71" i="1" a="1"/>
  <c r="FC52" i="1" a="1"/>
  <c r="FS99" i="1" a="1"/>
  <c r="EV68" i="1" a="1"/>
  <c r="FJ40" i="1" a="1"/>
  <c r="GG93" i="1" a="1"/>
  <c r="FZ95" i="1" a="1"/>
  <c r="FS97" i="1" a="1"/>
  <c r="FJ19" i="1" a="1"/>
  <c r="FJ21" i="1" a="1"/>
  <c r="FJ83" i="1" a="1"/>
  <c r="FQ57" i="1" a="1"/>
  <c r="EV14" i="1" a="1"/>
  <c r="FQ81" i="1" a="1"/>
  <c r="FC35" i="1" a="1"/>
  <c r="FJ20" i="1" a="1"/>
  <c r="EV69" i="1" a="1"/>
  <c r="FS94" i="1" a="1"/>
  <c r="FQ77" i="1" a="1"/>
  <c r="FC83" i="1" a="1"/>
  <c r="FQ73" i="1" a="1"/>
  <c r="FX21" i="1" a="1"/>
  <c r="EV79" i="1" a="1"/>
  <c r="FZ100" i="1" a="1"/>
  <c r="EV36" i="1" a="1"/>
  <c r="FS89" i="1" a="1"/>
  <c r="FC30" i="1" a="1"/>
  <c r="FE91" i="1" a="1"/>
  <c r="EV48" i="1" a="1"/>
  <c r="GG90" i="1" a="1"/>
  <c r="EV61" i="1" a="1"/>
  <c r="FJ32" i="1" a="1"/>
  <c r="FE88" i="1" a="1"/>
  <c r="FQ14" i="1" a="1"/>
  <c r="FX80" i="1" a="1"/>
  <c r="EV59" i="1" a="1"/>
  <c r="FE93" i="1" a="1"/>
  <c r="EV16" i="1" a="1"/>
  <c r="FC23" i="1" a="1"/>
  <c r="FX63" i="1" a="1"/>
  <c r="FX32" i="1" a="1"/>
  <c r="FJ29" i="1" a="1"/>
  <c r="FC48" i="1" a="1"/>
  <c r="FZ90" i="1" a="1"/>
  <c r="FC12" i="1" a="1"/>
  <c r="EV15" i="1" a="1"/>
  <c r="FJ56" i="1" a="1"/>
  <c r="GG91" i="1" a="1"/>
  <c r="FE95" i="1" a="1"/>
  <c r="FQ15" i="1" a="1"/>
  <c r="FQ82" i="1" a="1"/>
  <c r="FQ59" i="1" a="1"/>
  <c r="FQ50" i="1" a="1"/>
  <c r="FS91" i="1" a="1"/>
  <c r="FJ46" i="1" a="1"/>
  <c r="FC15" i="1" a="1"/>
  <c r="FQ18" i="1" a="1"/>
  <c r="EV81" i="1" a="1"/>
  <c r="FJ8" i="1" a="1"/>
  <c r="FJ50" i="1" a="1"/>
  <c r="FS98" i="1" a="1"/>
  <c r="FE98" i="1" a="1"/>
  <c r="FC59" i="1" a="1"/>
  <c r="FX67" i="1" a="1"/>
  <c r="FQ31" i="1" a="1"/>
  <c r="FX68" i="1" a="1"/>
  <c r="FJ79" i="1" a="1"/>
  <c r="EV78" i="1" a="1"/>
  <c r="FJ11" i="1" a="1"/>
  <c r="EV30" i="1" a="1"/>
  <c r="FX13" i="1" a="1"/>
  <c r="FX77" i="1" a="1"/>
  <c r="FX40" i="1" a="1"/>
  <c r="FX46" i="1" a="1"/>
  <c r="FC33" i="1" a="1"/>
  <c r="FC11" i="1" a="1"/>
  <c r="FJ61" i="1" a="1"/>
  <c r="FZ97" i="1" a="1"/>
  <c r="FJ31" i="1" a="1"/>
  <c r="FX11" i="1" a="1"/>
  <c r="FQ10" i="1" a="1"/>
  <c r="FQ69" i="1" a="1"/>
  <c r="FS92" i="1" a="1"/>
  <c r="FC21" i="1" a="1"/>
  <c r="EV50" i="1" a="1"/>
  <c r="FX30" i="1" a="1"/>
  <c r="FQ83" i="1" a="1"/>
  <c r="EV73" i="1" a="1"/>
  <c r="FX36" i="1" a="1"/>
  <c r="FX52" i="1" a="1"/>
  <c r="FX39" i="1" a="1"/>
  <c r="FX17" i="1" a="1"/>
  <c r="FZ91" i="1" a="1"/>
  <c r="FZ96" i="1" a="1"/>
  <c r="FQ80" i="1" a="1"/>
  <c r="FJ80" i="1" a="1"/>
  <c r="FC72" i="1" a="1"/>
  <c r="FS93" i="1" a="1"/>
  <c r="FQ45" i="1" a="1"/>
  <c r="FJ18" i="1" a="1"/>
  <c r="FX55" i="1" a="1"/>
  <c r="FJ77" i="1" a="1"/>
  <c r="FZ92" i="1" a="1"/>
  <c r="FZ94" i="1" a="1"/>
  <c r="FC61" i="1" a="1"/>
  <c r="FQ7" i="1" a="1"/>
  <c r="GG88" i="1" a="1"/>
  <c r="FQ23" i="1" a="1"/>
  <c r="FX72" i="1" a="1"/>
  <c r="FE89" i="1" a="1"/>
  <c r="FC16" i="1" a="1"/>
  <c r="FJ37" i="1" a="1"/>
  <c r="FX50" i="1" a="1"/>
  <c r="FQ33" i="1" a="1"/>
  <c r="FX79" i="1" a="1"/>
  <c r="FJ10" i="1" a="1"/>
  <c r="FQ44" i="1" a="1"/>
  <c r="GG94" i="1" a="1"/>
  <c r="FX15" i="1" a="1"/>
  <c r="FC57" i="1" a="1"/>
  <c r="FJ26" i="1" a="1"/>
  <c r="FQ61" i="1" a="1"/>
  <c r="EV26" i="1" a="1"/>
  <c r="FJ78" i="1" a="1"/>
  <c r="FZ99" i="1" a="1"/>
  <c r="FX18" i="1" a="1"/>
  <c r="FC43" i="1" a="1"/>
  <c r="FZ93" i="1" a="1"/>
  <c r="EV85" i="1" a="1"/>
  <c r="FJ43" i="1" a="1"/>
  <c r="EV80" i="1" a="1"/>
  <c r="FC63" i="1" a="1"/>
  <c r="FJ34" i="1" a="1"/>
  <c r="EV18" i="1" a="1"/>
  <c r="FC45" i="1" a="1"/>
  <c r="FJ53" i="1" a="1"/>
  <c r="EV45" i="1" a="1"/>
  <c r="FC60" i="1" a="1"/>
  <c r="EV65" i="1" a="1"/>
  <c r="FC41" i="1" a="1"/>
  <c r="FX19" i="1" a="1"/>
  <c r="FL94" i="1" a="1"/>
  <c r="EV27" i="1" a="1"/>
  <c r="FJ47" i="1" a="1"/>
  <c r="FX8" i="1" a="1"/>
  <c r="FQ24" i="1" a="1"/>
  <c r="FQ74" i="1" a="1"/>
  <c r="FX59" i="1" a="1"/>
  <c r="FE97" i="1" a="1"/>
  <c r="FJ16" i="1" a="1"/>
  <c r="FC56" i="1" a="1"/>
  <c r="FS100" i="1" a="1"/>
  <c r="FJ12" i="1" a="1"/>
  <c r="FQ34" i="1" a="1"/>
  <c r="FL89" i="1" a="1"/>
  <c r="FX48" i="1" a="1"/>
  <c r="FQ49" i="1" a="1"/>
  <c r="FC58" i="1" a="1"/>
  <c r="FQ60" i="1" a="1"/>
  <c r="FE90" i="1" a="1"/>
  <c r="FJ68" i="1" a="1"/>
  <c r="FX29" i="1" a="1"/>
  <c r="FX23" i="1" a="1"/>
  <c r="FE102" i="1" a="1"/>
  <c r="FC37" i="1" a="1"/>
  <c r="FX78" i="1" a="1"/>
  <c r="FX26" i="1" a="1"/>
  <c r="FQ76" i="1" a="1"/>
  <c r="FJ72" i="1" a="1"/>
  <c r="FQ64" i="1" a="1"/>
  <c r="EV40" i="1" a="1"/>
  <c r="GG89" i="1" a="1"/>
  <c r="FX49" i="1" a="1"/>
  <c r="FJ15" i="1" a="1"/>
  <c r="FL100" i="1" a="1"/>
  <c r="FX25" i="1" a="1"/>
  <c r="FJ30" i="1" a="1"/>
  <c r="FJ82" i="1" a="1"/>
  <c r="FZ98" i="1" a="1"/>
  <c r="FC34" i="1" a="1"/>
  <c r="FJ63" i="1" a="1"/>
  <c r="EV82" i="1" a="1"/>
  <c r="EV67" i="1" a="1"/>
  <c r="FL98" i="1" a="1"/>
  <c r="FS102" i="1" a="1"/>
  <c r="FC36" i="1" a="1"/>
  <c r="FQ53" i="1" a="1"/>
  <c r="FC26" i="1" a="1"/>
  <c r="FQ72" i="1" a="1"/>
  <c r="FX41" i="1" a="1"/>
  <c r="FX16" i="1" a="1"/>
  <c r="FS90" i="1" a="1"/>
  <c r="FC53" i="1" a="1"/>
  <c r="FJ59" i="1" a="1"/>
  <c r="FX65" i="1" a="1"/>
  <c r="FC81" i="1" a="1"/>
  <c r="FC14" i="1" a="1"/>
  <c r="EV58" i="1" a="1"/>
  <c r="FX51" i="1" a="1"/>
  <c r="FQ46" i="1" a="1"/>
  <c r="FX61" i="1" a="1"/>
  <c r="FQ12" i="1" a="1"/>
  <c r="EV9" i="1" a="1"/>
  <c r="FQ66" i="1" a="1"/>
  <c r="GG98" i="1" a="1"/>
  <c r="FC27" i="1" a="1"/>
  <c r="FL92" i="1" a="1"/>
  <c r="EV51" i="1" a="1"/>
  <c r="FC51" i="1" a="1"/>
  <c r="EV47" i="1" a="1"/>
  <c r="EV76" i="1" a="1"/>
  <c r="FE92" i="1" a="1"/>
  <c r="EV75" i="1" a="1"/>
  <c r="EV42" i="1" a="1"/>
  <c r="EV83" i="1" a="1"/>
  <c r="FE94" i="1" a="1"/>
  <c r="FQ41" i="1" a="1"/>
  <c r="FX69" i="1" a="1"/>
  <c r="EV72" i="1" a="1"/>
  <c r="FX34" i="1" a="1"/>
  <c r="FX12" i="1" a="1"/>
  <c r="GG101" i="1" a="1"/>
  <c r="FC10" i="1" a="1"/>
  <c r="FX24" i="1" a="1"/>
  <c r="EV53" i="1" a="1"/>
  <c r="FQ67" i="1" a="1"/>
  <c r="FC71" i="1" a="1"/>
  <c r="FZ101" i="1" a="1"/>
  <c r="FJ60" i="1" a="1"/>
  <c r="FX45" i="1" a="1"/>
  <c r="EV24" i="1" a="1"/>
  <c r="EV12" i="1" a="1"/>
  <c r="FX64" i="1" a="1"/>
  <c r="FQ8" i="1" a="1"/>
  <c r="FX76" i="1" a="1"/>
  <c r="FQ42" i="1" a="1"/>
  <c r="FJ52" i="1" a="1"/>
  <c r="EV77" i="1" a="1"/>
  <c r="EV32" i="1" a="1"/>
  <c r="FC42" i="1" a="1"/>
  <c r="FL99" i="1" a="1"/>
  <c r="EV20" i="1" a="1"/>
  <c r="FC25" i="1" a="1"/>
  <c r="FX62" i="1" a="1"/>
  <c r="EV49" i="1" a="1"/>
  <c r="FC47" i="1" a="1"/>
  <c r="FJ33" i="1" a="1"/>
  <c r="EV33" i="1" a="1"/>
  <c r="EV28" i="1" a="1"/>
  <c r="FC69" i="1" a="1"/>
  <c r="FJ65" i="1" l="1"/>
  <c r="FJ73" i="1"/>
  <c r="FC25" i="1"/>
  <c r="EV9" i="1"/>
  <c r="FQ61" i="1"/>
  <c r="FQ77" i="1"/>
  <c r="FQ71" i="1"/>
  <c r="EV77" i="1"/>
  <c r="FC78" i="1"/>
  <c r="FQ78" i="1"/>
  <c r="EV83" i="1"/>
  <c r="FQ57" i="1"/>
  <c r="FJ13" i="1"/>
  <c r="FJ39" i="1"/>
  <c r="FQ23" i="1"/>
  <c r="FJ61" i="1"/>
  <c r="FQ82" i="1"/>
  <c r="EV18" i="1"/>
  <c r="GG88" i="1"/>
  <c r="FC11" i="1"/>
  <c r="FQ15" i="1"/>
  <c r="FJ34" i="1"/>
  <c r="FQ7" i="1"/>
  <c r="FC33" i="1"/>
  <c r="FC51" i="1"/>
  <c r="FC26" i="1"/>
  <c r="FX49" i="1"/>
  <c r="FJ77" i="1"/>
  <c r="FX13" i="1"/>
  <c r="FX55" i="1"/>
  <c r="FX23" i="1"/>
  <c r="FX39" i="1"/>
  <c r="FQ42" i="1"/>
  <c r="FJ31" i="1"/>
  <c r="FJ83" i="1"/>
  <c r="FC44" i="1"/>
  <c r="FX47" i="1"/>
  <c r="FC35" i="1"/>
  <c r="FC56" i="1"/>
  <c r="FC59" i="1"/>
  <c r="FC23" i="1"/>
  <c r="EV14" i="1"/>
  <c r="EV36" i="1"/>
  <c r="FX77" i="1"/>
  <c r="EV68" i="1"/>
  <c r="FX21" i="1"/>
  <c r="EV12" i="1"/>
  <c r="EV82" i="1"/>
  <c r="FQ52" i="1"/>
  <c r="FC71" i="1"/>
  <c r="FQ19" i="1"/>
  <c r="FJ68" i="1"/>
  <c r="FC8" i="1"/>
  <c r="EV20" i="1"/>
  <c r="FX50" i="1"/>
  <c r="FC34" i="1"/>
  <c r="FQ50" i="1"/>
  <c r="FJ37" i="1"/>
  <c r="FQ64" i="1"/>
  <c r="FX67" i="1"/>
  <c r="FX68" i="1"/>
  <c r="FJ50" i="1"/>
  <c r="FQ31" i="1"/>
  <c r="FJ21" i="1"/>
  <c r="FX32" i="1"/>
  <c r="FX17" i="1"/>
  <c r="FQ65" i="1"/>
  <c r="FJ20" i="1"/>
  <c r="FQ10" i="1"/>
  <c r="FX29" i="1"/>
  <c r="FC10" i="1"/>
  <c r="FC27" i="1"/>
  <c r="FC52" i="1"/>
  <c r="FC53" i="1"/>
  <c r="FQ60" i="1"/>
  <c r="EV16" i="1"/>
  <c r="FC42" i="1"/>
  <c r="FJ11" i="1"/>
  <c r="FX62" i="1"/>
  <c r="FQ13" i="1"/>
  <c r="FX73" i="1"/>
  <c r="FZ91" i="1"/>
  <c r="FX43" i="1"/>
  <c r="FQ8" i="1"/>
  <c r="FC58" i="1"/>
  <c r="FL93" i="1"/>
  <c r="EV61" i="1"/>
  <c r="FJ72" i="1"/>
  <c r="GG93" i="1"/>
  <c r="GG96" i="1"/>
  <c r="EV76" i="1"/>
  <c r="FZ89" i="1"/>
  <c r="FE98" i="1"/>
  <c r="EV73" i="1"/>
  <c r="FE93" i="1"/>
  <c r="FS94" i="1"/>
  <c r="FC80" i="1"/>
  <c r="FE97" i="1"/>
  <c r="FX80" i="1"/>
  <c r="FX78" i="1"/>
  <c r="FX24" i="1"/>
  <c r="FQ33" i="1"/>
  <c r="FX59" i="1"/>
  <c r="GG90" i="1"/>
  <c r="EV59" i="1"/>
  <c r="EV30" i="1"/>
  <c r="FQ41" i="1"/>
  <c r="EV15" i="1"/>
  <c r="FJ79" i="1"/>
  <c r="FJ64" i="1"/>
  <c r="EV60" i="1"/>
  <c r="EV45" i="1"/>
  <c r="FX76" i="1"/>
  <c r="FX41" i="1"/>
  <c r="FJ12" i="1"/>
  <c r="FJ16" i="1"/>
  <c r="FZ94" i="1"/>
  <c r="EV75" i="1"/>
  <c r="FE95" i="1"/>
  <c r="FJ32" i="1"/>
  <c r="FQ79" i="1"/>
  <c r="FE92" i="1"/>
  <c r="EV10" i="1"/>
  <c r="FJ60" i="1"/>
  <c r="EV63" i="1"/>
  <c r="FZ90" i="1"/>
  <c r="FJ49" i="1"/>
  <c r="FS89" i="1"/>
  <c r="EV81" i="1"/>
  <c r="FX33" i="1"/>
  <c r="FC65" i="1"/>
  <c r="EV8" i="1"/>
  <c r="EV58" i="1"/>
  <c r="FJ43" i="1"/>
  <c r="FE91" i="1"/>
  <c r="FJ26" i="1"/>
  <c r="FC57" i="1"/>
  <c r="FJ33" i="1"/>
  <c r="FX25" i="1"/>
  <c r="EV79" i="1"/>
  <c r="FL89" i="1"/>
  <c r="FQ30" i="1"/>
  <c r="FC81" i="1"/>
  <c r="FL94" i="1"/>
  <c r="FX30" i="1"/>
  <c r="FX15" i="1"/>
  <c r="FC77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EV80" i="1"/>
  <c r="FX12" i="1"/>
  <c r="FJ27" i="1"/>
  <c r="FJ78" i="1"/>
  <c r="FQ81" i="1"/>
  <c r="EV65" i="1"/>
  <c r="FX36" i="1"/>
  <c r="GG91" i="1"/>
  <c r="FJ29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Q56" i="1"/>
  <c r="FJ52" i="1"/>
  <c r="FX44" i="1"/>
  <c r="FL98" i="1"/>
  <c r="FX37" i="1"/>
  <c r="FJ41" i="1"/>
  <c r="FJ8" i="1"/>
  <c r="FX79" i="1"/>
  <c r="FJ81" i="1"/>
  <c r="FJ56" i="1"/>
  <c r="EV42" i="1"/>
  <c r="FX16" i="1"/>
  <c r="FQ12" i="1"/>
  <c r="FZ98" i="1"/>
  <c r="FJ35" i="1"/>
  <c r="EV78" i="1"/>
  <c r="GG98" i="1"/>
  <c r="FC69" i="1"/>
  <c r="FQ69" i="1"/>
  <c r="EV27" i="1"/>
  <c r="FQ58" i="1"/>
  <c r="FE90" i="1"/>
  <c r="FZ99" i="1"/>
  <c r="FQ46" i="1"/>
  <c r="FC84" i="1"/>
  <c r="FQ45" i="1"/>
  <c r="FX69" i="1"/>
  <c r="GG100" i="1"/>
  <c r="FQ11" i="1"/>
  <c r="FJ82" i="1"/>
  <c r="FJ47" i="1"/>
  <c r="FC45" i="1"/>
  <c r="FS93" i="1"/>
  <c r="FE89" i="1"/>
  <c r="FS102" i="1"/>
  <c r="FC60" i="1"/>
  <c r="FX18" i="1"/>
  <c r="FX51" i="1"/>
  <c r="EV51" i="1"/>
  <c r="FC21" i="1"/>
  <c r="FS90" i="1"/>
  <c r="FS100" i="1"/>
  <c r="FQ80" i="1"/>
  <c r="FX45" i="1"/>
  <c r="FC47" i="1"/>
  <c r="FC15" i="1"/>
  <c r="FQ76" i="1"/>
  <c r="FX26" i="1"/>
  <c r="FQ67" i="1"/>
  <c r="FC46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EV28" i="1"/>
  <c r="FQ29" i="1"/>
  <c r="EV33" i="1"/>
  <c r="FQ49" i="1"/>
  <c r="FC83" i="1"/>
  <c r="FE96" i="1"/>
  <c r="FJ42" i="1"/>
  <c r="FJ15" i="1"/>
  <c r="EV49" i="1"/>
  <c r="FC40" i="1"/>
  <c r="FQ74" i="1"/>
  <c r="FX27" i="1"/>
  <c r="FJ62" i="1"/>
  <c r="FC36" i="1"/>
  <c r="FQ72" i="1"/>
  <c r="FX11" i="1"/>
  <c r="FL100" i="1"/>
  <c r="FS99" i="1"/>
  <c r="FJ53" i="1"/>
  <c r="EV25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X19" i="1"/>
  <c r="FC72" i="1"/>
  <c r="GG89" i="1"/>
  <c r="FX46" i="1"/>
  <c r="FX72" i="1"/>
  <c r="EV26" i="1"/>
  <c r="EV85" i="1"/>
  <c r="EV72" i="1"/>
  <c r="FJ19" i="1"/>
  <c r="FC48" i="1"/>
  <c r="FJ46" i="1"/>
  <c r="FQ66" i="1"/>
  <c r="FJ10" i="1"/>
  <c r="FQ73" i="1"/>
  <c r="FX40" i="1"/>
  <c r="EV50" i="1"/>
  <c r="FL92" i="1"/>
  <c r="FC37" i="1"/>
  <c r="EV40" i="1"/>
  <c r="FX48" i="1"/>
  <c r="FJ40" i="1"/>
  <c r="FX65" i="1"/>
  <c r="FQ83" i="1"/>
  <c r="FS91" i="1"/>
  <c r="EV48" i="1"/>
  <c r="EV67" i="1"/>
  <c r="FJ30" i="1"/>
  <c r="FJ18" i="1"/>
  <c r="FQ18" i="1"/>
  <c r="FX42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DX101" i="1" a="1"/>
  <c r="EB93" i="1" a="1"/>
  <c r="DX92" i="1" a="1"/>
  <c r="EB92" i="1" a="1"/>
  <c r="EC89" i="1" a="1"/>
  <c r="EC88" i="1" a="1"/>
  <c r="EB96" i="1" a="1"/>
  <c r="DX94" i="1" a="1"/>
  <c r="EB98" i="1" a="1"/>
  <c r="EB99" i="1" a="1"/>
  <c r="EC94" i="1" a="1"/>
  <c r="EC93" i="1" a="1"/>
  <c r="EC96" i="1" a="1"/>
  <c r="EB100" i="1" a="1"/>
  <c r="DX96" i="1" a="1"/>
  <c r="DX98" i="1" a="1"/>
  <c r="DX100" i="1" a="1"/>
  <c r="EC90" i="1" a="1"/>
  <c r="DX99" i="1" a="1"/>
  <c r="EB89" i="1" a="1"/>
  <c r="EC100" i="1" a="1"/>
  <c r="EC101" i="1" a="1"/>
  <c r="EB90" i="1" a="1"/>
  <c r="EB95" i="1" a="1"/>
  <c r="EB97" i="1" a="1"/>
  <c r="EB94" i="1" a="1"/>
  <c r="EB101" i="1" a="1"/>
  <c r="EB88" i="1" a="1"/>
  <c r="EB91" i="1" a="1"/>
  <c r="DX97" i="1" a="1"/>
  <c r="DX102" i="1" a="1"/>
  <c r="EC95" i="1" a="1"/>
  <c r="DX95" i="1" a="1"/>
  <c r="EC92" i="1" a="1"/>
  <c r="DX90" i="1" a="1"/>
  <c r="DX88" i="1" a="1"/>
  <c r="EC97" i="1" a="1"/>
  <c r="DX89" i="1" a="1"/>
  <c r="EC102" i="1" a="1"/>
  <c r="DX93" i="1" a="1"/>
  <c r="EC98" i="1" a="1"/>
  <c r="EC99" i="1" a="1"/>
  <c r="DX91" i="1" a="1"/>
  <c r="EC91" i="1" a="1"/>
  <c r="EB102" i="1" a="1"/>
  <c r="DV75" i="1" a="1"/>
  <c r="DV73" i="1" a="1"/>
  <c r="DV85" i="1" a="1"/>
  <c r="DV83" i="1" a="1"/>
  <c r="DV82" i="1" a="1"/>
  <c r="DV80" i="1" a="1"/>
  <c r="DV81" i="1" a="1"/>
  <c r="DV79" i="1" a="1"/>
  <c r="DV84" i="1" a="1"/>
  <c r="DV78" i="1" a="1"/>
  <c r="DV72" i="1" a="1"/>
  <c r="DV74" i="1" a="1"/>
  <c r="DV76" i="1" a="1"/>
  <c r="DV71" i="1" a="1"/>
  <c r="DV77" i="1" a="1"/>
  <c r="DV58" i="1" a="1"/>
  <c r="DV64" i="1" a="1"/>
  <c r="DV66" i="1" a="1"/>
  <c r="DV57" i="1" a="1"/>
  <c r="DV69" i="1" a="1"/>
  <c r="DV61" i="1" a="1"/>
  <c r="DV55" i="1" a="1"/>
  <c r="DV67" i="1" a="1"/>
  <c r="DV56" i="1" a="1"/>
  <c r="DV59" i="1" a="1"/>
  <c r="DV60" i="1" a="1"/>
  <c r="DV62" i="1" a="1"/>
  <c r="DV65" i="1" a="1"/>
  <c r="DV63" i="1" a="1"/>
  <c r="DV68" i="1" a="1"/>
  <c r="DV48" i="1" a="1"/>
  <c r="DV50" i="1" a="1"/>
  <c r="DV40" i="1" a="1"/>
  <c r="DV53" i="1" a="1"/>
  <c r="DV44" i="1" a="1"/>
  <c r="DV47" i="1" a="1"/>
  <c r="DV49" i="1" a="1"/>
  <c r="DV52" i="1" a="1"/>
  <c r="DV39" i="1" a="1"/>
  <c r="DV45" i="1" a="1"/>
  <c r="DV43" i="1" a="1"/>
  <c r="DV41" i="1" a="1"/>
  <c r="DV46" i="1" a="1"/>
  <c r="DV51" i="1" a="1"/>
  <c r="DV42" i="1" a="1"/>
  <c r="DV31" i="1" a="1"/>
  <c r="DV36" i="1" a="1"/>
  <c r="DV35" i="1" a="1"/>
  <c r="DV29" i="1" a="1"/>
  <c r="DV23" i="1" a="1"/>
  <c r="DV24" i="1" a="1"/>
  <c r="DV32" i="1" a="1"/>
  <c r="DV26" i="1" a="1"/>
  <c r="DV25" i="1" a="1"/>
  <c r="DV37" i="1" a="1"/>
  <c r="DV28" i="1" a="1"/>
  <c r="DV27" i="1" a="1"/>
  <c r="DV30" i="1" a="1"/>
  <c r="DV33" i="1" a="1"/>
  <c r="DV34" i="1" a="1"/>
  <c r="DV16" i="1" a="1"/>
  <c r="DV13" i="1" a="1"/>
  <c r="DV11" i="1" a="1"/>
  <c r="DV15" i="1" a="1"/>
  <c r="DV21" i="1" a="1"/>
  <c r="DV8" i="1" a="1"/>
  <c r="DV10" i="1" a="1"/>
  <c r="DV12" i="1" a="1"/>
  <c r="DV20" i="1" a="1"/>
  <c r="DV19" i="1" a="1"/>
  <c r="DV17" i="1" a="1"/>
  <c r="DV14" i="1" a="1"/>
  <c r="DV18" i="1" a="1"/>
  <c r="DV9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M19" i="1" a="1"/>
  <c r="EM51" i="1" a="1"/>
  <c r="DY100" i="1" a="1"/>
  <c r="EM35" i="1" a="1"/>
  <c r="FC75" i="1" a="1"/>
  <c r="FX75" i="1" a="1"/>
  <c r="FQ75" i="1" a="1"/>
  <c r="FJ75" i="1" a="1"/>
  <c r="EV43" i="1" a="1"/>
  <c r="EV17" i="1" a="1"/>
  <c r="FX81" i="1" a="1"/>
  <c r="FQ17" i="1" a="1"/>
  <c r="FJ17" i="1" a="1"/>
  <c r="FC17" i="1" a="1"/>
  <c r="EV74" i="1" a="1"/>
  <c r="FQ26" i="1" a="1"/>
  <c r="FC74" i="1" a="1"/>
  <c r="FJ74" i="1" a="1"/>
  <c r="FX71" i="1" a="1"/>
  <c r="EV7" i="1" a="1"/>
  <c r="FQ55" i="1" a="1"/>
  <c r="FC55" i="1" a="1"/>
  <c r="FC79" i="1" a="1"/>
  <c r="EV31" i="1" a="1"/>
  <c r="EV44" i="1" a="1"/>
  <c r="FX28" i="1" a="1"/>
  <c r="FC28" i="1" a="1"/>
  <c r="FJ28" i="1" a="1"/>
  <c r="FQ28" i="1" a="1"/>
  <c r="FC62" i="1" a="1"/>
  <c r="EV62" i="1" a="1"/>
  <c r="FJ14" i="1" a="1"/>
  <c r="FJ45" i="1" a="1"/>
  <c r="FC29" i="1" a="1"/>
  <c r="EV13" i="1" a="1"/>
  <c r="EV64" i="1" a="1"/>
  <c r="FC64" i="1" a="1"/>
  <c r="FJ48" i="1" a="1"/>
  <c r="EV35" i="1" a="1"/>
  <c r="FJ51" i="1" a="1"/>
  <c r="FX35" i="1" a="1"/>
  <c r="FQ35" i="1" a="1"/>
  <c r="FC19" i="1" a="1"/>
  <c r="FC73" i="1" a="1"/>
  <c r="EV41" i="1" a="1"/>
  <c r="FQ9" i="1" a="1"/>
  <c r="FX9" i="1" a="1"/>
  <c r="FJ66" i="1" a="1"/>
  <c r="FC82" i="1" a="1"/>
  <c r="EV34" i="1" a="1"/>
  <c r="FC68" i="1" a="1"/>
  <c r="FQ20" i="1" a="1"/>
  <c r="EV52" i="1" a="1"/>
  <c r="FJ36" i="1" a="1"/>
  <c r="FX20" i="1" a="1"/>
  <c r="DX46" i="1" a="1"/>
  <c r="DY42" i="1" a="1"/>
  <c r="DY23" i="1" a="1"/>
  <c r="DX29" i="1" a="1"/>
  <c r="DY41" i="1" a="1"/>
  <c r="DX83" i="1" a="1"/>
  <c r="DY68" i="1" a="1"/>
  <c r="DX67" i="1" a="1"/>
  <c r="DY75" i="1" a="1"/>
  <c r="DY71" i="1" a="1"/>
  <c r="DX63" i="1" a="1"/>
  <c r="DY30" i="1" a="1"/>
  <c r="DX26" i="1" a="1"/>
  <c r="DY43" i="1" a="1"/>
  <c r="DX61" i="1" a="1"/>
  <c r="DY72" i="1" a="1"/>
  <c r="DX76" i="1" a="1"/>
  <c r="DY52" i="1" a="1"/>
  <c r="DY37" i="1" a="1"/>
  <c r="DY29" i="1" a="1"/>
  <c r="DX58" i="1" a="1"/>
  <c r="DX41" i="1" a="1"/>
  <c r="DY40" i="1" a="1"/>
  <c r="DY66" i="1" a="1"/>
  <c r="DY27" i="1" a="1"/>
  <c r="DX31" i="1" a="1"/>
  <c r="DY48" i="1" a="1"/>
  <c r="DX42" i="1" a="1"/>
  <c r="DY24" i="1" a="1"/>
  <c r="DY60" i="1" a="1"/>
  <c r="DX80" i="1" a="1"/>
  <c r="DX33" i="1" a="1"/>
  <c r="DY64" i="1" a="1"/>
  <c r="DX23" i="1" a="1"/>
  <c r="DY49" i="1" a="1"/>
  <c r="DY55" i="1" a="1"/>
  <c r="DY62" i="1" a="1"/>
  <c r="DX79" i="1" a="1"/>
  <c r="DX36" i="1" a="1"/>
  <c r="DX56" i="1" a="1"/>
  <c r="DX44" i="1" a="1"/>
  <c r="DX65" i="1" a="1"/>
  <c r="DX75" i="1" a="1"/>
  <c r="DX57" i="1" a="1"/>
  <c r="DX37" i="1" a="1"/>
  <c r="DY80" i="1" a="1"/>
  <c r="DX45" i="1" a="1"/>
  <c r="DY45" i="1" a="1"/>
  <c r="DY32" i="1" a="1"/>
  <c r="DX82" i="1" a="1"/>
  <c r="DY78" i="1" a="1"/>
  <c r="DY65" i="1" a="1"/>
  <c r="DY47" i="1" a="1"/>
  <c r="DY53" i="1" a="1"/>
  <c r="DX30" i="1" a="1"/>
  <c r="DY51" i="1" a="1"/>
  <c r="DX81" i="1" a="1"/>
  <c r="DY50" i="1" a="1"/>
  <c r="DX43" i="1" a="1"/>
  <c r="DY31" i="1" a="1"/>
  <c r="DX68" i="1" a="1"/>
  <c r="DY26" i="1" a="1"/>
  <c r="DY76" i="1" a="1"/>
  <c r="DX47" i="1" a="1"/>
  <c r="DY84" i="1" a="1"/>
  <c r="DX24" i="1" a="1"/>
  <c r="DY83" i="1" a="1"/>
  <c r="DX28" i="1" a="1"/>
  <c r="DX59" i="1" a="1"/>
  <c r="DX78" i="1" a="1"/>
  <c r="DX50" i="1" a="1"/>
  <c r="DY36" i="1" a="1"/>
  <c r="DX62" i="1" a="1"/>
  <c r="DY73" i="1" a="1"/>
  <c r="DY34" i="1" a="1"/>
  <c r="DY85" i="1" a="1"/>
  <c r="DY67" i="1" a="1"/>
  <c r="DX60" i="1" a="1"/>
  <c r="DX27" i="1" a="1"/>
  <c r="DX84" i="1" a="1"/>
  <c r="DY56" i="1" a="1"/>
  <c r="DY82" i="1" a="1"/>
  <c r="DY35" i="1" a="1"/>
  <c r="DY61" i="1" a="1"/>
  <c r="DX77" i="1" a="1"/>
  <c r="DX32" i="1" a="1"/>
  <c r="DX53" i="1" a="1"/>
  <c r="DX64" i="1" a="1"/>
  <c r="DX49" i="1" a="1"/>
  <c r="DX39" i="1" a="1"/>
  <c r="DX35" i="1" a="1"/>
  <c r="DY69" i="1" a="1"/>
  <c r="DX85" i="1" a="1"/>
  <c r="DY25" i="1" a="1"/>
  <c r="DX71" i="1" a="1"/>
  <c r="DY81" i="1" a="1"/>
  <c r="DX51" i="1" a="1"/>
  <c r="DX25" i="1" a="1"/>
  <c r="DX48" i="1" a="1"/>
  <c r="DY39" i="1" a="1"/>
  <c r="DX52" i="1" a="1"/>
  <c r="DY33" i="1" a="1"/>
  <c r="DX73" i="1" a="1"/>
  <c r="DX55" i="1" a="1"/>
  <c r="DY59" i="1" a="1"/>
  <c r="DY46" i="1" a="1"/>
  <c r="DY77" i="1" a="1"/>
  <c r="DY57" i="1" a="1"/>
  <c r="DX74" i="1" a="1"/>
  <c r="DX72" i="1" a="1"/>
  <c r="DX66" i="1" a="1"/>
  <c r="DY74" i="1" a="1"/>
  <c r="DY58" i="1" a="1"/>
  <c r="DY44" i="1" a="1"/>
  <c r="DX69" i="1" a="1"/>
  <c r="DX40" i="1" a="1"/>
  <c r="DY79" i="1" a="1"/>
  <c r="DY28" i="1" a="1"/>
  <c r="DY63" i="1" a="1"/>
  <c r="DX34" i="1" a="1"/>
  <c r="FQ25" i="1" a="1"/>
  <c r="EB39" i="1" a="1"/>
  <c r="EC52" i="1" a="1"/>
  <c r="EC64" i="1" a="1"/>
  <c r="EC40" i="1" a="1"/>
  <c r="EN63" i="1" a="1"/>
  <c r="EB74" i="1" a="1"/>
  <c r="EN53" i="1" a="1"/>
  <c r="EN56" i="1" a="1"/>
  <c r="EB24" i="1" a="1"/>
  <c r="EC48" i="1" a="1"/>
  <c r="EB8" i="1" a="1"/>
  <c r="EN16" i="1" a="1"/>
  <c r="EI68" i="1" a="1"/>
  <c r="EI25" i="1" a="1"/>
  <c r="EC10" i="1" a="1"/>
  <c r="EI47" i="1" a="1"/>
  <c r="EB33" i="1" a="1"/>
  <c r="EC43" i="1" a="1"/>
  <c r="DX10" i="1" a="1"/>
  <c r="EN40" i="1" a="1"/>
  <c r="EC27" i="1" a="1"/>
  <c r="EN7" i="1" a="1"/>
  <c r="EB36" i="1" a="1"/>
  <c r="EI81" i="1" a="1"/>
  <c r="EC78" i="1" a="1"/>
  <c r="EB34" i="1" a="1"/>
  <c r="DV95" i="1" a="1"/>
  <c r="EN24" i="1" a="1"/>
  <c r="EC15" i="1" a="1"/>
  <c r="FJ23" i="1" a="1"/>
  <c r="EB66" i="1" a="1"/>
  <c r="EC83" i="1" a="1"/>
  <c r="EC57" i="1" a="1"/>
  <c r="EI27" i="1" a="1"/>
  <c r="EN47" i="1" a="1"/>
  <c r="DV102" i="1" a="1"/>
  <c r="EC39" i="1" a="1"/>
  <c r="EI32" i="1" a="1"/>
  <c r="EN55" i="1" a="1"/>
  <c r="EN78" i="1" a="1"/>
  <c r="EI73" i="1" a="1"/>
  <c r="EC51" i="1" a="1"/>
  <c r="EB61" i="1" a="1"/>
  <c r="EN12" i="1" a="1"/>
  <c r="EX94" i="1" a="1"/>
  <c r="EN44" i="1" a="1"/>
  <c r="EB46" i="1" a="1"/>
  <c r="EB15" i="1" a="1"/>
  <c r="EC59" i="1" a="1"/>
  <c r="EB80" i="1" a="1"/>
  <c r="EI71" i="1" a="1"/>
  <c r="EC69" i="1" a="1"/>
  <c r="EI59" i="1" a="1"/>
  <c r="DX19" i="1" a="1"/>
  <c r="EC42" i="1" a="1"/>
  <c r="EV56" i="1" a="1"/>
  <c r="EC17" i="1" a="1"/>
  <c r="EC14" i="1" a="1"/>
  <c r="EB75" i="1" a="1"/>
  <c r="EN61" i="1" a="1"/>
  <c r="DX14" i="1" a="1"/>
  <c r="EB49" i="1" a="1"/>
  <c r="EC53" i="1" a="1"/>
  <c r="EI56" i="1" a="1"/>
  <c r="EN10" i="1" a="1"/>
  <c r="EI74" i="1" a="1"/>
  <c r="EC68" i="1" a="1"/>
  <c r="EB81" i="1" a="1"/>
  <c r="EB50" i="1" a="1"/>
  <c r="EN30" i="1" a="1"/>
  <c r="EB62" i="1" a="1"/>
  <c r="DY11" i="1" a="1"/>
  <c r="DV97" i="1" a="1"/>
  <c r="DV93" i="1" a="1"/>
  <c r="EC20" i="1" a="1"/>
  <c r="EB32" i="1" a="1"/>
  <c r="EI53" i="1" a="1"/>
  <c r="EI52" i="1" a="1"/>
  <c r="EB31" i="1" a="1"/>
  <c r="EI82" i="1" a="1"/>
  <c r="EB68" i="1" a="1"/>
  <c r="FQ40" i="1" a="1"/>
  <c r="EB78" i="1" a="1"/>
  <c r="EN62" i="1" a="1"/>
  <c r="EC26" i="1" a="1"/>
  <c r="DV100" i="1" a="1"/>
  <c r="EN72" i="1" a="1"/>
  <c r="DX12" i="1" a="1"/>
  <c r="EN36" i="1" a="1"/>
  <c r="EB17" i="1" a="1"/>
  <c r="EI20" i="1" a="1"/>
  <c r="EI24" i="1" a="1"/>
  <c r="EI72" i="1" a="1"/>
  <c r="EC23" i="1" a="1"/>
  <c r="DX16" i="1" a="1"/>
  <c r="EN13" i="1" a="1"/>
  <c r="EB57" i="1" a="1"/>
  <c r="EI69" i="1" a="1"/>
  <c r="EI19" i="1" a="1"/>
  <c r="EC37" i="1" a="1"/>
  <c r="EC30" i="1" a="1"/>
  <c r="EI57" i="1" a="1"/>
  <c r="EC60" i="1" a="1"/>
  <c r="FJ24" i="1" a="1"/>
  <c r="EX92" i="1" a="1"/>
  <c r="DY10" i="1" a="1"/>
  <c r="EC75" i="1" a="1"/>
  <c r="EI64" i="1" a="1"/>
  <c r="EC71" i="1" a="1"/>
  <c r="EB10" i="1" a="1"/>
  <c r="EN46" i="1" a="1"/>
  <c r="DV92" i="1" a="1"/>
  <c r="EC67" i="1" a="1"/>
  <c r="EB13" i="1" a="1"/>
  <c r="FC7" i="1" a="1"/>
  <c r="EN75" i="1" a="1"/>
  <c r="EC21" i="1" a="1"/>
  <c r="EB28" i="1" a="1"/>
  <c r="EC82" i="1" a="1"/>
  <c r="EI50" i="1" a="1"/>
  <c r="EI39" i="1" a="1"/>
  <c r="EB21" i="1" a="1"/>
  <c r="EX89" i="1" a="1"/>
  <c r="EI10" i="1" a="1"/>
  <c r="EB16" i="1" a="1"/>
  <c r="EB41" i="1" a="1"/>
  <c r="EB37" i="1" a="1"/>
  <c r="EI35" i="1" a="1"/>
  <c r="EI43" i="1" a="1"/>
  <c r="EN50" i="1" a="1"/>
  <c r="EC45" i="1" a="1"/>
  <c r="EC62" i="1" a="1"/>
  <c r="EB45" i="1" a="1"/>
  <c r="EV37" i="1" a="1"/>
  <c r="FX56" i="1" a="1"/>
  <c r="EB27" i="1" a="1"/>
  <c r="EB69" i="1" a="1"/>
  <c r="EN59" i="1" a="1"/>
  <c r="EB67" i="1" a="1"/>
  <c r="EI15" i="1" a="1"/>
  <c r="EX101" i="1" a="1"/>
  <c r="EN76" i="1" a="1"/>
  <c r="DV94" i="1" a="1"/>
  <c r="EN73" i="1" a="1"/>
  <c r="EB7" i="1" a="1"/>
  <c r="EN26" i="1" a="1"/>
  <c r="DY7" i="1" a="1"/>
  <c r="EB47" i="1" a="1"/>
  <c r="EI45" i="1" a="1"/>
  <c r="EN31" i="1" a="1"/>
  <c r="EI65" i="1" a="1"/>
  <c r="EI26" i="1" a="1"/>
  <c r="EN19" i="1" a="1"/>
  <c r="DY15" i="1" a="1"/>
  <c r="EX98" i="1" a="1"/>
  <c r="EN84" i="1" a="1"/>
  <c r="EB64" i="1" a="1"/>
  <c r="EN28" i="1" a="1"/>
  <c r="EB60" i="1" a="1"/>
  <c r="EX96" i="1" a="1"/>
  <c r="EI75" i="1" a="1"/>
  <c r="EB23" i="1" a="1"/>
  <c r="EC80" i="1" a="1"/>
  <c r="EC25" i="1" a="1"/>
  <c r="DY19" i="1" a="1"/>
  <c r="EC58" i="1" a="1"/>
  <c r="EC29" i="1" a="1"/>
  <c r="FC24" i="1" a="1"/>
  <c r="EI51" i="1" a="1"/>
  <c r="EB65" i="1" a="1"/>
  <c r="EC77" i="1" a="1"/>
  <c r="DV99" i="1" a="1"/>
  <c r="EB77" i="1" a="1"/>
  <c r="EN23" i="1" a="1"/>
  <c r="EI79" i="1" a="1"/>
  <c r="EN42" i="1" a="1"/>
  <c r="EB83" i="1" a="1"/>
  <c r="EI61" i="1" a="1"/>
  <c r="DX15" i="1" a="1"/>
  <c r="EC85" i="1" a="1"/>
  <c r="EI83" i="1" a="1"/>
  <c r="EN64" i="1" a="1"/>
  <c r="EB25" i="1" a="1"/>
  <c r="DY18" i="1" a="1"/>
  <c r="EN51" i="1" a="1"/>
  <c r="EI58" i="1" a="1"/>
  <c r="EX102" i="1" a="1"/>
  <c r="EI60" i="1" a="1"/>
  <c r="EX93" i="1" a="1"/>
  <c r="EI7" i="1" a="1"/>
  <c r="EC46" i="1" a="1"/>
  <c r="EN83" i="1" a="1"/>
  <c r="EI76" i="1" a="1"/>
  <c r="DV89" i="1" a="1"/>
  <c r="EN82" i="1" a="1"/>
  <c r="EN41" i="1" a="1"/>
  <c r="EN33" i="1" a="1"/>
  <c r="EI31" i="1" a="1"/>
  <c r="EN35" i="1" a="1"/>
  <c r="EB19" i="1" a="1"/>
  <c r="EI36" i="1" a="1"/>
  <c r="EC12" i="1" a="1"/>
  <c r="EX88" i="1" a="1"/>
  <c r="EI9" i="1" a="1"/>
  <c r="EX100" i="1" a="1"/>
  <c r="EC63" i="1" a="1"/>
  <c r="EI78" i="1" a="1"/>
  <c r="EI18" i="1" a="1"/>
  <c r="EB43" i="1" a="1"/>
  <c r="EC55" i="1" a="1"/>
  <c r="EI63" i="1" a="1"/>
  <c r="EB53" i="1" a="1"/>
  <c r="DY13" i="1" a="1"/>
  <c r="EN57" i="1" a="1"/>
  <c r="EI33" i="1" a="1"/>
  <c r="EN45" i="1" a="1"/>
  <c r="EN81" i="1" a="1"/>
  <c r="EB63" i="1" a="1"/>
  <c r="EN74" i="1" a="1"/>
  <c r="EI17" i="1" a="1"/>
  <c r="DY8" i="1" a="1"/>
  <c r="EN37" i="1" a="1"/>
  <c r="EC34" i="1" a="1"/>
  <c r="EX91" i="1" a="1"/>
  <c r="DV91" i="1" a="1"/>
  <c r="EN29" i="1" a="1"/>
  <c r="FC9" i="1" a="1"/>
  <c r="EB12" i="1" a="1"/>
  <c r="EC32" i="1" a="1"/>
  <c r="DV88" i="1" a="1"/>
  <c r="EN20" i="1" a="1"/>
  <c r="EB52" i="1" a="1"/>
  <c r="EN39" i="1" a="1"/>
  <c r="EI49" i="1" a="1"/>
  <c r="EB51" i="1" a="1"/>
  <c r="EN60" i="1" a="1"/>
  <c r="EB58" i="1" a="1"/>
  <c r="EB29" i="1" a="1"/>
  <c r="EN69" i="1" a="1"/>
  <c r="EN21" i="1" a="1"/>
  <c r="EN8" i="1" a="1"/>
  <c r="EB76" i="1" a="1"/>
  <c r="EN25" i="1" a="1"/>
  <c r="EX99" i="1" a="1"/>
  <c r="EC61" i="1" a="1"/>
  <c r="DX13" i="1" a="1"/>
  <c r="EI44" i="1" a="1"/>
  <c r="EB72" i="1" a="1"/>
  <c r="EC81" i="1" a="1"/>
  <c r="EB11" i="1" a="1"/>
  <c r="EI42" i="1" a="1"/>
  <c r="DY9" i="1" a="1"/>
  <c r="EB55" i="1" a="1"/>
  <c r="EI23" i="1" a="1"/>
  <c r="EC11" i="1" a="1"/>
  <c r="EI13" i="1" a="1"/>
  <c r="EC18" i="1" a="1"/>
  <c r="EN68" i="1" a="1"/>
  <c r="EI40" i="1" a="1"/>
  <c r="EI21" i="1" a="1"/>
  <c r="EI67" i="1" a="1"/>
  <c r="EI48" i="1" a="1"/>
  <c r="DY16" i="1" a="1"/>
  <c r="EB48" i="1" a="1"/>
  <c r="EC33" i="1" a="1"/>
  <c r="DY12" i="1" a="1"/>
  <c r="EC73" i="1" a="1"/>
  <c r="EC19" i="1" a="1"/>
  <c r="EC84" i="1" a="1"/>
  <c r="EC44" i="1" a="1"/>
  <c r="EI12" i="1" a="1"/>
  <c r="DV96" i="1" a="1"/>
  <c r="EI62" i="1" a="1"/>
  <c r="EC47" i="1" a="1"/>
  <c r="EN77" i="1" a="1"/>
  <c r="EI11" i="1" a="1"/>
  <c r="EN32" i="1" a="1"/>
  <c r="DX17" i="1" a="1"/>
  <c r="DY20" i="1" a="1"/>
  <c r="EB73" i="1" a="1"/>
  <c r="EI37" i="1" a="1"/>
  <c r="EC9" i="1" a="1"/>
  <c r="DX11" i="1" a="1"/>
  <c r="EC50" i="1" a="1"/>
  <c r="EN52" i="1" a="1"/>
  <c r="EB14" i="1" a="1"/>
  <c r="DV98" i="1" a="1"/>
  <c r="EN65" i="1" a="1"/>
  <c r="EC28" i="1" a="1"/>
  <c r="EB9" i="1" a="1"/>
  <c r="EB71" i="1" a="1"/>
  <c r="EI28" i="1" a="1"/>
  <c r="FX7" i="1" a="1"/>
  <c r="DX20" i="1" a="1"/>
  <c r="EN58" i="1" a="1"/>
  <c r="EB40" i="1" a="1"/>
  <c r="DX21" i="1" a="1"/>
  <c r="DV101" i="1" a="1"/>
  <c r="EB30" i="1" a="1"/>
  <c r="DY14" i="1" a="1"/>
  <c r="EC7" i="1" a="1"/>
  <c r="EB79" i="1" a="1"/>
  <c r="EC41" i="1" a="1"/>
  <c r="EB82" i="1" a="1"/>
  <c r="EN48" i="1" a="1"/>
  <c r="EI34" i="1" a="1"/>
  <c r="EN34" i="1" a="1"/>
  <c r="DY17" i="1" a="1"/>
  <c r="EI14" i="1" a="1"/>
  <c r="EI80" i="1" a="1"/>
  <c r="EN67" i="1" a="1"/>
  <c r="EC72" i="1" a="1"/>
  <c r="EB84" i="1" a="1"/>
  <c r="EC74" i="1" a="1"/>
  <c r="EC79" i="1" a="1"/>
  <c r="EB59" i="1" a="1"/>
  <c r="EI30" i="1" a="1"/>
  <c r="DV90" i="1" a="1"/>
  <c r="EV57" i="1" a="1"/>
  <c r="EC24" i="1" a="1"/>
  <c r="EX97" i="1" a="1"/>
  <c r="EN85" i="1" a="1"/>
  <c r="EC66" i="1" a="1"/>
  <c r="EI66" i="1" a="1"/>
  <c r="EB44" i="1" a="1"/>
  <c r="EI29" i="1" a="1"/>
  <c r="EB56" i="1" a="1"/>
  <c r="EB20" i="1" a="1"/>
  <c r="EC49" i="1" a="1"/>
  <c r="EN11" i="1" a="1"/>
  <c r="EV23" i="1" a="1"/>
  <c r="EN66" i="1" a="1"/>
  <c r="EX90" i="1" a="1"/>
  <c r="DX8" i="1" a="1"/>
  <c r="EC16" i="1" a="1"/>
  <c r="EI41" i="1" a="1"/>
  <c r="EN49" i="1" a="1"/>
  <c r="EN18" i="1" a="1"/>
  <c r="EI77" i="1" a="1"/>
  <c r="EC13" i="1" a="1"/>
  <c r="EI46" i="1" a="1"/>
  <c r="EN79" i="1" a="1"/>
  <c r="EC36" i="1" a="1"/>
  <c r="EC31" i="1" a="1"/>
  <c r="FX57" i="1" a="1"/>
  <c r="EN17" i="1" a="1"/>
  <c r="EC56" i="1" a="1"/>
  <c r="EB42" i="1" a="1"/>
  <c r="EN14" i="1" a="1"/>
  <c r="EI55" i="1" a="1"/>
  <c r="EC35" i="1" a="1"/>
  <c r="EB26" i="1" a="1"/>
  <c r="DY21" i="1" a="1"/>
  <c r="EN80" i="1" a="1"/>
  <c r="DX9" i="1" a="1"/>
  <c r="EN15" i="1" a="1"/>
  <c r="EX95" i="1" a="1"/>
  <c r="EC65" i="1" a="1"/>
  <c r="EB85" i="1" a="1"/>
  <c r="EI85" i="1" a="1"/>
  <c r="EC8" i="1" a="1"/>
  <c r="EB18" i="1" a="1"/>
  <c r="EN43" i="1" a="1"/>
  <c r="EI8" i="1" a="1"/>
  <c r="EI16" i="1" a="1"/>
  <c r="EC76" i="1" a="1"/>
  <c r="EI84" i="1" a="1"/>
  <c r="EN27" i="1" a="1"/>
  <c r="FJ57" i="1" a="1"/>
  <c r="EN71" i="1" a="1"/>
  <c r="EB35" i="1" a="1"/>
  <c r="DX18" i="1" a="1"/>
  <c r="EN9" i="1" a="1"/>
  <c r="B98" i="1" a="1"/>
  <c r="G98" i="1" a="1"/>
  <c r="D98" i="1" a="1"/>
  <c r="EM35" i="1" l="1"/>
  <c r="DY100" i="1"/>
  <c r="EM51" i="1"/>
  <c r="EM19" i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EV91" i="1"/>
  <c r="EV98" i="1"/>
  <c r="EV100" i="1"/>
  <c r="EV101" i="1"/>
  <c r="EV102" i="1"/>
  <c r="EV90" i="1"/>
  <c r="EV93" i="1"/>
  <c r="EV99" i="1"/>
  <c r="EV92" i="1"/>
  <c r="EV89" i="1"/>
  <c r="EV96" i="1"/>
  <c r="EV97" i="1"/>
  <c r="EV95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67" i="1" a="1"/>
  <c r="EM83" i="1" a="1"/>
  <c r="EM24" i="1" a="1"/>
  <c r="EM39" i="1" a="1"/>
  <c r="EM41" i="1" a="1"/>
  <c r="EM23" i="1" a="1"/>
  <c r="EM72" i="1" a="1"/>
  <c r="EM25" i="1" a="1"/>
  <c r="EM55" i="1" a="1"/>
  <c r="EM71" i="1" a="1"/>
  <c r="EM57" i="1" a="1"/>
  <c r="EM73" i="1" a="1"/>
  <c r="EM40" i="1" a="1"/>
  <c r="EM56" i="1" a="1"/>
  <c r="EH81" i="1" a="1"/>
  <c r="EH43" i="1" a="1"/>
  <c r="EH77" i="1" a="1"/>
  <c r="EH11" i="1" a="1"/>
  <c r="EH79" i="1" a="1"/>
  <c r="EH16" i="1" a="1"/>
  <c r="EH59" i="1" a="1"/>
  <c r="EH44" i="1" a="1"/>
  <c r="EH74" i="1" a="1"/>
  <c r="EH24" i="1" a="1"/>
  <c r="EH7" i="1" a="1"/>
  <c r="EH45" i="1" a="1"/>
  <c r="EH62" i="1" a="1"/>
  <c r="EH48" i="1" a="1"/>
  <c r="EH40" i="1" a="1"/>
  <c r="EH13" i="1" a="1"/>
  <c r="EH15" i="1" a="1"/>
  <c r="EH49" i="1" a="1"/>
  <c r="EH73" i="1" a="1"/>
  <c r="EH42" i="1" a="1"/>
  <c r="EH14" i="1" a="1"/>
  <c r="EH80" i="1" a="1"/>
  <c r="EH51" i="1" a="1"/>
  <c r="EH63" i="1" a="1"/>
  <c r="EH78" i="1" a="1"/>
  <c r="EH41" i="1" a="1"/>
  <c r="EH85" i="1" a="1"/>
  <c r="EH69" i="1" a="1"/>
  <c r="EH84" i="1" a="1"/>
  <c r="EH37" i="1" a="1"/>
  <c r="EH46" i="1" a="1"/>
  <c r="EH47" i="1" a="1"/>
  <c r="EH30" i="1" a="1"/>
  <c r="EH9" i="1" a="1"/>
  <c r="EH65" i="1" a="1"/>
  <c r="EH34" i="1" a="1"/>
  <c r="EH53" i="1" a="1"/>
  <c r="EH12" i="1" a="1"/>
  <c r="EM8" i="1" a="1"/>
  <c r="EH18" i="1" a="1"/>
  <c r="EH39" i="1" a="1"/>
  <c r="EH75" i="1" a="1"/>
  <c r="EH58" i="1" a="1"/>
  <c r="EH25" i="1" a="1"/>
  <c r="EH71" i="1" a="1"/>
  <c r="EH66" i="1" a="1"/>
  <c r="EH50" i="1" a="1"/>
  <c r="EH28" i="1" a="1"/>
  <c r="EH56" i="1" a="1"/>
  <c r="EH8" i="1" a="1"/>
  <c r="EH32" i="1" a="1"/>
  <c r="EH55" i="1" a="1"/>
  <c r="EH21" i="1" a="1"/>
  <c r="EH83" i="1" a="1"/>
  <c r="EH61" i="1" a="1"/>
  <c r="EH57" i="1" a="1"/>
  <c r="EM9" i="1" a="1"/>
  <c r="EH33" i="1" a="1"/>
  <c r="EH23" i="1" a="1"/>
  <c r="EH52" i="1" a="1"/>
  <c r="EH82" i="1" a="1"/>
  <c r="EH68" i="1" a="1"/>
  <c r="EH72" i="1" a="1"/>
  <c r="EH26" i="1" a="1"/>
  <c r="EH35" i="1" a="1"/>
  <c r="EH27" i="1" a="1"/>
  <c r="EH67" i="1" a="1"/>
  <c r="EM7" i="1" a="1"/>
  <c r="EH17" i="1" a="1"/>
  <c r="EH19" i="1" a="1"/>
  <c r="EH10" i="1" a="1"/>
  <c r="EH60" i="1" a="1"/>
  <c r="EH20" i="1" a="1"/>
  <c r="EH31" i="1" a="1"/>
  <c r="EH29" i="1" a="1"/>
  <c r="EH76" i="1" a="1"/>
  <c r="EH36" i="1" a="1"/>
  <c r="EH64" i="1" a="1"/>
  <c r="EM83" i="1" l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7" a="1"/>
  <c r="A2" i="23" a="1"/>
  <c r="A2" i="10" a="1"/>
  <c r="A2" i="11" a="1"/>
  <c r="A2" i="8" a="1"/>
  <c r="A2" i="9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22" authorId="0" shapeId="0" xr:uid="{3B980459-FB0E-46A8-B523-EFC8127B7FB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22" authorId="0" shapeId="0" xr:uid="{3D46C467-ED8A-4FE6-B727-BE02D29AD74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38" authorId="0" shapeId="0" xr:uid="{41F2AC6E-3A20-4BBB-A4BC-29F98C77FC9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38" authorId="0" shapeId="0" xr:uid="{AB7A9C7E-C18E-4F95-9CE4-269DCF1E640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  <comment ref="EP54" authorId="0" shapeId="0" xr:uid="{C454B924-D398-41B1-B309-E060E978FD0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54" authorId="0" shapeId="0" xr:uid="{B4C4A4B7-754C-402E-A1BD-3D24CD91453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70" authorId="0" shapeId="0" xr:uid="{F926D3ED-0AE0-4551-8D8C-0173A254E6D0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70" authorId="0" shapeId="0" xr:uid="{8818ABD3-B9B8-4FB1-8C87-3397935F98E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73C6F0B-5E58-44CE-A15B-FE44BDECD1F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05EEAB8-FF39-4D17-B4BA-3AA59078F2C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7F6E2974-438E-4944-8D8C-D4F5F7D736CE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933E53A6-2A91-4EE8-AE2E-5F811C51A1DE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B69A50B-A3AD-4CE1-8E76-6337D963E55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A14C7C5F-E784-4837-9540-86C4F757C7E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9C7BEF5-97B3-4F59-AB1B-49D6C0B16896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3B1CA02B-F933-4305-B4F0-7275157E649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F7249565-F142-4FE4-B7C6-A8CD4864A5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FFB34F2E-8659-4280-8F55-7749C68502D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<sst xmlns="http://schemas.openxmlformats.org/spreadsheetml/2006/main" count="1658" uniqueCount="476">
  <si>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</si>
  <si>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</si>
  <si>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</si>
  <si>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</si>
  <si>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</si>
  <si>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</si>
  <si>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</si>
  <si>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</si>
  <si>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</si>
  <si>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</si>
  <si>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</si>
  <si>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</si>
  <si>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</si>
  <si>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</si>
  <si>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</si>
  <si>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</si>
  <si>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</si>
  <si>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</si>
  <si>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</si>
  <si>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</si>
  <si>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</si>
  <si>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</si>
  <si>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</si>
  <si>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</si>
  <si>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</si>
  <si>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</si>
  <si>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</si>
  <si>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</si>
  <si>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</si>
  <si>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</si>
  <si>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</si>
  <si>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</si>
  <si>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</si>
  <si>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</si>
  <si>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</si>
  <si>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</si>
  <si>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</si>
  <si>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</si>
  <si>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</si>
  <si>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</si>
  <si>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</si>
  <si>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</si>
  <si>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</si>
  <si>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</si>
  <si>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</si>
  <si>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</si>
  <si>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</si>
  <si>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</si>
  <si>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</si>
  <si>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</si>
  <si>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</si>
  <si>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</si>
  <si>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</si>
  <si>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</si>
  <si>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</si>
  <si>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</si>
  <si>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</si>
  <si>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</si>
  <si>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</si>
  <si>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</si>
  <si>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</si>
  <si>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</si>
  <si>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</si>
  <si>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</si>
  <si>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</si>
  <si>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</si>
  <si>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</si>
  <si>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</si>
  <si>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</si>
  <si>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</si>
  <si>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</si>
  <si>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</si>
  <si>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</si>
  <si>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</si>
  <si>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</si>
  <si>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</si>
  <si>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</si>
  <si>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</si>
  <si>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</si>
  <si>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</si>
  <si>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</si>
  <si>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</si>
  <si>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</si>
  <si>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</si>
  <si>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</si>
  <si>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</si>
  <si>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</si>
  <si>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</si>
  <si>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</si>
  <si>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</si>
  <si>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</si>
  <si>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</si>
  <si>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</si>
  <si>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</si>
  <si>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</si>
  <si>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</si>
  <si>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</si>
  <si>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</si>
  <si>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</si>
  <si>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</si>
  <si>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</si>
  <si>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</si>
  <si>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</si>
  <si>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</si>
  <si>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</si>
  <si>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</si>
  <si>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</si>
  <si>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</si>
  <si>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</si>
  <si>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</si>
  <si>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</si>
  <si>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</si>
  <si>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</si>
  <si>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</si>
  <si>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</si>
  <si>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</si>
  <si>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</si>
  <si>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</si>
  <si>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</si>
  <si>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</si>
  <si>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</si>
  <si>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</si>
  <si>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</si>
  <si>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</si>
  <si>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</si>
  <si>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</si>
  <si>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</si>
  <si>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</si>
  <si>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</si>
  <si>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</si>
  <si>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</si>
  <si>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</si>
  <si>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</si>
  <si>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</si>
  <si>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</si>
  <si>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</si>
  <si>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</si>
  <si>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</si>
  <si>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</si>
  <si>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</si>
  <si>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</si>
  <si>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</si>
  <si>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</si>
  <si>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</si>
  <si>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</si>
  <si>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</si>
  <si>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</si>
  <si>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</si>
  <si>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</si>
  <si>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</si>
  <si>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</si>
  <si>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</si>
  <si>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</si>
  <si>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</si>
  <si>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</si>
  <si>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</si>
  <si>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</si>
  <si>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</si>
  <si>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</si>
  <si>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</si>
  <si>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</si>
  <si>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</si>
  <si>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</si>
  <si>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</si>
  <si>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</si>
  <si>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</si>
  <si>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</si>
  <si>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</si>
  <si>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</si>
  <si>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</si>
  <si>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</si>
  <si>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</si>
  <si>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</si>
  <si>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</si>
  <si>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</si>
  <si>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</si>
  <si>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</si>
  <si>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</si>
  <si>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</si>
  <si>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</si>
  <si>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</si>
  <si>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</si>
  <si>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</si>
  <si>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</si>
  <si>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</si>
  <si>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</si>
  <si>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</si>
  <si>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</si>
  <si>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</si>
  <si>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</si>
  <si>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</si>
  <si>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</si>
  <si>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</si>
  <si>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</si>
  <si>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</si>
  <si>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</si>
  <si>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</si>
  <si>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</si>
  <si>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</si>
  <si>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</si>
  <si>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</si>
  <si>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</si>
  <si>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</si>
  <si>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</si>
  <si>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</si>
  <si>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</si>
  <si>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</si>
  <si>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</si>
  <si>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</si>
  <si>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</si>
  <si>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</si>
  <si>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</si>
  <si>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</si>
  <si>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</si>
  <si>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</si>
  <si>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</si>
  <si>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</si>
  <si>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</si>
  <si>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</si>
  <si>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</si>
  <si>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</si>
  <si>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</si>
  <si>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</si>
  <si>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</si>
  <si>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</si>
  <si>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</si>
  <si>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</si>
  <si>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</si>
  <si>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</si>
  <si>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</si>
  <si>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</si>
  <si>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</si>
  <si>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</si>
  <si>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</si>
  <si>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</si>
  <si>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</si>
  <si>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</si>
  <si>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</si>
  <si>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</si>
  <si>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</si>
  <si>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</si>
  <si>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</si>
  <si>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</si>
  <si>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</si>
  <si>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</si>
  <si>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</si>
  <si>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</si>
  <si>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</si>
  <si>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</si>
  <si>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</si>
  <si>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</si>
  <si>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</si>
  <si>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</si>
  <si>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</si>
  <si>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</si>
  <si>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</si>
  <si>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</si>
  <si>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</si>
  <si>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</si>
  <si>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</si>
  <si>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</si>
  <si>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</si>
  <si>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</si>
  <si>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</si>
  <si>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</si>
  <si>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</si>
  <si>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</si>
  <si>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</si>
  <si>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</si>
  <si>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</si>
  <si>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</si>
  <si>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</si>
  <si>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</si>
  <si>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</si>
  <si>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</si>
  <si>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</si>
  <si>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</si>
  <si>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</si>
  <si>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</si>
  <si>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</si>
  <si>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</si>
  <si>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</si>
  <si>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</si>
  <si>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</si>
  <si>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</si>
  <si>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</si>
  <si>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</si>
  <si>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</si>
  <si>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</si>
  <si>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</si>
  <si>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</si>
  <si>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</si>
  <si>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</si>
  <si>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</si>
  <si>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</si>
  <si>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</si>
  <si>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</si>
  <si>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</si>
  <si>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</si>
  <si>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</si>
  <si>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</si>
  <si>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</si>
  <si>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</si>
  <si>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</si>
  <si>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</si>
  <si>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</si>
  <si>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</si>
  <si>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</si>
  <si>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</si>
  <si>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</si>
  <si>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</si>
  <si>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</si>
  <si>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</si>
  <si>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</si>
  <si>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</si>
  <si>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</si>
  <si>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</si>
  <si>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</si>
  <si>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</si>
  <si>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</si>
  <si>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</si>
  <si>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</si>
  <si>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</si>
  <si>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</si>
  <si>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</si>
  <si>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</si>
  <si>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</si>
  <si>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</si>
  <si>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</si>
  <si>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</si>
  <si>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</si>
  <si>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</si>
  <si>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</si>
  <si>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</si>
  <si>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</si>
  <si>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</si>
  <si>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</si>
  <si>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</si>
  <si>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</si>
  <si>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</si>
  <si>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</si>
  <si>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</si>
  <si>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</si>
  <si>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</si>
  <si>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</si>
  <si>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</si>
  <si>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</si>
  <si>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</si>
  <si>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</si>
  <si>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</si>
  <si>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</si>
  <si>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</si>
  <si>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</si>
  <si>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</si>
  <si>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</si>
  <si>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</si>
  <si>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</si>
  <si>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</si>
  <si>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</si>
  <si>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0:11</t>
  </si>
  <si>
    <t>1:30</t>
  </si>
  <si>
    <t>1:12</t>
  </si>
  <si>
    <t>1:00</t>
  </si>
  <si>
    <t>0:56</t>
  </si>
  <si>
    <t>0:50</t>
  </si>
  <si>
    <t>2:17</t>
  </si>
  <si>
    <t>0:44</t>
  </si>
  <si>
    <t>0:32</t>
  </si>
  <si>
    <t>Attack</t>
  </si>
  <si>
    <t>Lost</t>
  </si>
  <si>
    <t>Won</t>
  </si>
  <si>
    <t>DAL</t>
  </si>
  <si>
    <t>Ultralight</t>
  </si>
  <si>
    <t>Hiperzz</t>
  </si>
  <si>
    <t>Lakqi</t>
  </si>
  <si>
    <t>Rye</t>
  </si>
  <si>
    <t>Saryz</t>
  </si>
  <si>
    <t>Candle</t>
  </si>
  <si>
    <t>Chos3n</t>
  </si>
  <si>
    <t>Ozone</t>
  </si>
  <si>
    <t>Krypticz</t>
  </si>
  <si>
    <t>Aggro</t>
  </si>
  <si>
    <t>Hox</t>
  </si>
  <si>
    <t>0:59</t>
  </si>
  <si>
    <t>1:51</t>
  </si>
  <si>
    <t>0:09</t>
  </si>
  <si>
    <t>0:48</t>
  </si>
  <si>
    <t>1:56</t>
  </si>
  <si>
    <t>1:25</t>
  </si>
  <si>
    <t>1:33</t>
  </si>
  <si>
    <t>1:44</t>
  </si>
  <si>
    <t>0:20</t>
  </si>
  <si>
    <t>0:34</t>
  </si>
  <si>
    <t>1:45</t>
  </si>
  <si>
    <t>2:20</t>
  </si>
  <si>
    <t>1:58</t>
  </si>
  <si>
    <t>2:12</t>
  </si>
  <si>
    <t>2:26</t>
  </si>
  <si>
    <t>2:00</t>
  </si>
  <si>
    <t>0:43</t>
  </si>
  <si>
    <t>0:13</t>
  </si>
  <si>
    <t>0:08</t>
  </si>
  <si>
    <t>0:16</t>
  </si>
  <si>
    <t>0:26</t>
  </si>
  <si>
    <t>1:01</t>
  </si>
  <si>
    <t>1:41</t>
  </si>
  <si>
    <t>1:22</t>
  </si>
  <si>
    <t>2:14</t>
  </si>
  <si>
    <t>0:10</t>
  </si>
  <si>
    <t>1:34</t>
  </si>
  <si>
    <t>2:43</t>
  </si>
  <si>
    <t>0:01</t>
  </si>
  <si>
    <t>1:43</t>
  </si>
  <si>
    <t>0:42</t>
  </si>
  <si>
    <t>0:02</t>
  </si>
  <si>
    <t>1:52</t>
  </si>
  <si>
    <t>0:31</t>
  </si>
  <si>
    <t>1:38</t>
  </si>
  <si>
    <t>1:31</t>
  </si>
  <si>
    <t>1:09</t>
  </si>
  <si>
    <t>Hipperz</t>
  </si>
  <si>
    <t>2:06</t>
  </si>
  <si>
    <t>0:12</t>
  </si>
  <si>
    <t>0:05</t>
  </si>
  <si>
    <t>2:15</t>
  </si>
  <si>
    <t>1:42</t>
  </si>
  <si>
    <t>0:53</t>
  </si>
  <si>
    <t>2:03</t>
  </si>
  <si>
    <t>0:07</t>
  </si>
  <si>
    <t>0:00</t>
  </si>
  <si>
    <t>Kryptics</t>
  </si>
  <si>
    <t>2:02</t>
  </si>
  <si>
    <t>0:54</t>
  </si>
  <si>
    <t>0:21</t>
  </si>
  <si>
    <t>0:03</t>
  </si>
  <si>
    <t>2:44</t>
  </si>
  <si>
    <t>2:09</t>
  </si>
  <si>
    <t>1:27</t>
  </si>
  <si>
    <t>0:35</t>
  </si>
  <si>
    <t>0:15</t>
  </si>
  <si>
    <t>2:11</t>
  </si>
  <si>
    <t>2:16</t>
  </si>
  <si>
    <t>1:50</t>
  </si>
  <si>
    <t>1:06</t>
  </si>
  <si>
    <t>2:24</t>
  </si>
  <si>
    <t>1:55</t>
  </si>
  <si>
    <t>0:52</t>
  </si>
  <si>
    <t>2:35</t>
  </si>
  <si>
    <t>1:24</t>
  </si>
  <si>
    <t>0:38</t>
  </si>
  <si>
    <t>1:32</t>
  </si>
  <si>
    <t>0:28</t>
  </si>
  <si>
    <t>0:46</t>
  </si>
  <si>
    <t>0:22</t>
  </si>
  <si>
    <t>Defense</t>
  </si>
  <si>
    <t>1:39</t>
  </si>
  <si>
    <t>Jackal</t>
  </si>
  <si>
    <t>ROUND_1</t>
  </si>
  <si>
    <t>ROUND_2</t>
  </si>
  <si>
    <t>ROUND_3</t>
  </si>
  <si>
    <t>HS5</t>
  </si>
  <si>
    <t>ZPING5</t>
  </si>
  <si>
    <t>REFRAG5</t>
  </si>
  <si>
    <t>UKILL5</t>
  </si>
  <si>
    <t>REFRAG4</t>
  </si>
  <si>
    <t>HS4</t>
  </si>
  <si>
    <t>ZPING4</t>
  </si>
  <si>
    <t>UKILL4</t>
  </si>
  <si>
    <t>REFRAG3</t>
  </si>
  <si>
    <t>HS3</t>
  </si>
  <si>
    <t>ZPING3</t>
  </si>
  <si>
    <t>UKILL3</t>
  </si>
  <si>
    <t>REFRAG2</t>
  </si>
  <si>
    <t>HS2</t>
  </si>
  <si>
    <t>ZPING2</t>
  </si>
  <si>
    <t>UKILL2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</si>
</sst>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19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Fill="1" applyBorder="1"/>
    <xf numFmtId="0" fontId="0" fillId="0" borderId="0" xfId="0" applyFill="1"/>
    <xf numFmtId="0" fontId="0" fillId="13" borderId="3" xfId="0" applyFill="1" applyBorder="1"/>
    <xf numFmtId="0" fontId="0" fillId="13" borderId="2" xfId="0" applyFill="1" applyBorder="1"/>
    <xf numFmtId="0" fontId="0" fillId="22" borderId="0" xfId="0" applyFont="1" applyFill="1"/>
    <xf numFmtId="164" fontId="0" fillId="0" borderId="0" xfId="0" applyNumberFormat="1"/>
    <xf numFmtId="14" fontId="0" fillId="0" borderId="1" xfId="0" applyNumberFormat="1" applyBorder="1"/>
    <xf numFmtId="0" fontId="0" fillId="0" borderId="1" xfId="0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opLeftCell="DO1" zoomScale="40" zoomScaleNormal="40" workbookViewId="0">
      <selection activeCell="DQ70" sqref="DQ70:GG70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8_22 Clubhouse_1</v>
      </c>
      <c r="B2" s="1" t="s">
        <v>371</v>
      </c>
      <c r="C2" s="1" t="s">
        <v>164</v>
      </c>
      <c r="D2" s="1" t="s">
        <v>372</v>
      </c>
      <c r="E2" s="59">
        <v>44795</v>
      </c>
      <c r="F2" s="1" t="s">
        <v>108</v>
      </c>
      <c r="G2" s="1" t="s">
        <v>103</v>
      </c>
      <c r="H2" s="1" t="s">
        <v>128</v>
      </c>
      <c r="I2" s="1" t="s">
        <v>123</v>
      </c>
      <c r="K2" s="15" t="s">
        <v>24</v>
      </c>
      <c r="L2" s="1" t="s">
        <v>374</v>
      </c>
      <c r="N2" s="15" t="s">
        <v>0</v>
      </c>
      <c r="O2" s="1" t="s">
        <v>377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61" t="s">
        <v>67</v>
      </c>
      <c r="AC2" s="61"/>
      <c r="AD2" s="61"/>
      <c r="DQ2" s="61" t="s">
        <v>80</v>
      </c>
      <c r="DR2" s="61"/>
      <c r="DS2" s="61"/>
      <c r="DT2" s="61"/>
    </row>
    <row r="3" spans="1:189" ht="15" customHeight="1" x14ac:dyDescent="0.25">
      <c r="K3" s="14" t="s">
        <v>25</v>
      </c>
      <c r="L3" s="1" t="s">
        <v>376</v>
      </c>
      <c r="N3" s="14" t="s">
        <v>13</v>
      </c>
      <c r="O3" s="1" t="s">
        <v>378</v>
      </c>
      <c r="AB3" s="61"/>
      <c r="AC3" s="61"/>
      <c r="AD3" s="61"/>
      <c r="DQ3" s="61"/>
      <c r="DR3" s="61"/>
      <c r="DS3" s="61"/>
      <c r="DT3" s="61"/>
    </row>
    <row r="4" spans="1:189" ht="15" customHeight="1" x14ac:dyDescent="0.25">
      <c r="A4" s="61" t="s">
        <v>8</v>
      </c>
      <c r="B4" s="61"/>
      <c r="C4" s="61"/>
      <c r="D4" s="61"/>
      <c r="K4" s="15" t="s">
        <v>26</v>
      </c>
      <c r="L4" s="1" t="s">
        <v>382</v>
      </c>
      <c r="N4" s="15" t="s">
        <v>14</v>
      </c>
      <c r="O4" s="1" t="s">
        <v>379</v>
      </c>
    </row>
    <row r="5" spans="1:189" x14ac:dyDescent="0.25">
      <c r="A5" s="61"/>
      <c r="B5" s="61"/>
      <c r="C5" s="61"/>
      <c r="D5" s="61"/>
      <c r="K5" s="14" t="s">
        <v>27</v>
      </c>
      <c r="L5" s="1" t="s">
        <v>375</v>
      </c>
      <c r="N5" s="14" t="s">
        <v>15</v>
      </c>
      <c r="O5" s="1" t="s">
        <v>380</v>
      </c>
    </row>
    <row r="6" spans="1:189" ht="14.25" customHeight="1" x14ac:dyDescent="0.25">
      <c r="K6" s="15" t="s">
        <v>28</v>
      </c>
      <c r="L6" s="1" t="s">
        <v>373</v>
      </c>
      <c r="N6" s="15" t="s">
        <v>16</v>
      </c>
      <c r="O6" s="1" t="s">
        <v>381</v>
      </c>
      <c r="AA6" s="19" t="s">
        <v>18</v>
      </c>
      <c r="AB6" s="11" t="str">
        <f>O2</f>
        <v>Candle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Candle</v>
      </c>
      <c r="DQ6" s="49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1" t="s">
        <v>62</v>
      </c>
      <c r="DX6" s="51" t="s">
        <v>219</v>
      </c>
      <c r="DY6" s="51" t="s">
        <v>220</v>
      </c>
      <c r="DZ6" s="51" t="s">
        <v>221</v>
      </c>
      <c r="EA6" s="51" t="s">
        <v>245</v>
      </c>
      <c r="EB6" s="51" t="s">
        <v>257</v>
      </c>
      <c r="EC6" s="51" t="s">
        <v>258</v>
      </c>
      <c r="ED6" s="52" t="s">
        <v>457</v>
      </c>
      <c r="EE6" s="51" t="s">
        <v>9</v>
      </c>
      <c r="EF6" s="51" t="s">
        <v>222</v>
      </c>
      <c r="EG6" s="51" t="s">
        <v>223</v>
      </c>
      <c r="EH6" s="51" t="s">
        <v>246</v>
      </c>
      <c r="EI6" s="51" t="s">
        <v>259</v>
      </c>
      <c r="EJ6" s="51" t="s">
        <v>260</v>
      </c>
      <c r="EK6" s="52" t="s">
        <v>458</v>
      </c>
      <c r="EL6" s="21" t="s">
        <v>324</v>
      </c>
      <c r="EM6" s="51" t="s">
        <v>33</v>
      </c>
      <c r="EN6" s="51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475</v>
      </c>
      <c r="EY6" s="21" t="s">
        <v>313</v>
      </c>
      <c r="EZ6" s="21" t="s">
        <v>314</v>
      </c>
      <c r="FA6" s="21" t="s">
        <v>474</v>
      </c>
      <c r="FB6" s="21" t="s">
        <v>473</v>
      </c>
      <c r="FC6" s="21" t="s">
        <v>472</v>
      </c>
      <c r="FD6" s="13" t="s">
        <v>63</v>
      </c>
      <c r="FE6" s="13" t="s">
        <v>471</v>
      </c>
      <c r="FF6" s="13" t="s">
        <v>315</v>
      </c>
      <c r="FG6" s="13" t="s">
        <v>316</v>
      </c>
      <c r="FH6" s="13" t="s">
        <v>470</v>
      </c>
      <c r="FI6" s="13" t="s">
        <v>469</v>
      </c>
      <c r="FJ6" s="13" t="s">
        <v>468</v>
      </c>
      <c r="FK6" s="21" t="s">
        <v>64</v>
      </c>
      <c r="FL6" s="21" t="s">
        <v>467</v>
      </c>
      <c r="FM6" s="21" t="s">
        <v>317</v>
      </c>
      <c r="FN6" s="21" t="s">
        <v>318</v>
      </c>
      <c r="FO6" s="21" t="s">
        <v>466</v>
      </c>
      <c r="FP6" s="21" t="s">
        <v>465</v>
      </c>
      <c r="FQ6" s="21" t="s">
        <v>464</v>
      </c>
      <c r="FR6" s="13" t="s">
        <v>65</v>
      </c>
      <c r="FS6" s="13" t="s">
        <v>463</v>
      </c>
      <c r="FT6" s="13" t="s">
        <v>319</v>
      </c>
      <c r="FU6" s="13" t="s">
        <v>320</v>
      </c>
      <c r="FV6" s="13" t="s">
        <v>461</v>
      </c>
      <c r="FW6" s="13" t="s">
        <v>460</v>
      </c>
      <c r="FX6" s="13" t="s">
        <v>462</v>
      </c>
      <c r="FY6" s="16" t="s">
        <v>459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57" t="s">
        <v>325</v>
      </c>
      <c r="L7" s="57" t="s">
        <v>325</v>
      </c>
      <c r="N7" s="57" t="s">
        <v>327</v>
      </c>
      <c r="O7" s="57" t="s">
        <v>327</v>
      </c>
      <c r="AB7" s="5">
        <v>1</v>
      </c>
      <c r="AC7" s="43" t="s">
        <v>383</v>
      </c>
      <c r="AD7" s="1" t="b">
        <v>0</v>
      </c>
      <c r="AE7" s="14" t="s">
        <v>373</v>
      </c>
      <c r="AF7" s="38"/>
      <c r="AG7" s="14"/>
      <c r="AH7" s="38"/>
      <c r="AJ7" s="5">
        <v>1</v>
      </c>
      <c r="AK7" s="43"/>
      <c r="AL7" s="1" t="b">
        <v>0</v>
      </c>
      <c r="AM7" s="14"/>
      <c r="AN7" s="38"/>
      <c r="AO7" s="14"/>
      <c r="AP7" s="38"/>
      <c r="AR7" s="5">
        <v>1</v>
      </c>
      <c r="AS7" s="43" t="s">
        <v>398</v>
      </c>
      <c r="AT7" s="1" t="b">
        <v>0</v>
      </c>
      <c r="AU7" s="14" t="s">
        <v>373</v>
      </c>
      <c r="AV7" s="38"/>
      <c r="AW7" s="14"/>
      <c r="AX7" s="38"/>
      <c r="AZ7" s="5">
        <v>1</v>
      </c>
      <c r="BA7" s="43"/>
      <c r="BB7" s="1" t="b">
        <v>0</v>
      </c>
      <c r="BC7" s="14"/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377</v>
      </c>
      <c r="BS7" s="43" t="s">
        <v>421</v>
      </c>
      <c r="BT7" s="1" t="b">
        <v>0</v>
      </c>
      <c r="BU7" s="14"/>
      <c r="BV7" s="38" t="b">
        <v>1</v>
      </c>
      <c r="BW7" s="14" t="s">
        <v>375</v>
      </c>
      <c r="BX7" s="38"/>
      <c r="BY7" s="14"/>
      <c r="BZ7" s="5">
        <v>1</v>
      </c>
      <c r="CA7" s="14" t="s">
        <v>380</v>
      </c>
      <c r="CB7" s="43" t="s">
        <v>363</v>
      </c>
      <c r="CC7" s="1" t="b">
        <v>0</v>
      </c>
      <c r="CD7" s="14"/>
      <c r="CE7" s="38"/>
      <c r="CF7" s="14" t="s">
        <v>373</v>
      </c>
      <c r="CG7" s="38"/>
      <c r="CH7" s="14" t="b">
        <v>1</v>
      </c>
      <c r="CI7" s="5">
        <v>1</v>
      </c>
      <c r="CJ7" s="14" t="s">
        <v>378</v>
      </c>
      <c r="CK7" s="43" t="s">
        <v>422</v>
      </c>
      <c r="CL7" s="1" t="b">
        <v>0</v>
      </c>
      <c r="CM7" s="14"/>
      <c r="CN7" s="38"/>
      <c r="CO7" s="14" t="s">
        <v>376</v>
      </c>
      <c r="CP7" s="38"/>
      <c r="CQ7" s="14" t="b">
        <v>1</v>
      </c>
      <c r="CR7" s="5">
        <v>1</v>
      </c>
      <c r="CS7" s="14" t="s">
        <v>380</v>
      </c>
      <c r="CT7" s="43" t="s">
        <v>423</v>
      </c>
      <c r="CU7" s="1" t="b">
        <v>0</v>
      </c>
      <c r="CV7" s="14"/>
      <c r="CW7" s="38"/>
      <c r="CX7" s="14" t="s">
        <v>382</v>
      </c>
      <c r="CY7" s="38"/>
      <c r="CZ7" s="14"/>
      <c r="DA7" s="5">
        <v>1</v>
      </c>
      <c r="DB7" s="14" t="s">
        <v>381</v>
      </c>
      <c r="DC7" s="43" t="s">
        <v>423</v>
      </c>
      <c r="DD7" s="1" t="b">
        <v>0</v>
      </c>
      <c r="DE7" s="14"/>
      <c r="DF7" s="38"/>
      <c r="DG7" s="14" t="s">
        <v>374</v>
      </c>
      <c r="DH7" s="38"/>
      <c r="DI7" s="14" t="b">
        <v>1</v>
      </c>
      <c r="DP7" s="37"/>
      <c r="DQ7" s="49" t="str">
        <f ca="1">A2</f>
        <v>8_22 Clubhouse_1</v>
      </c>
      <c r="DR7" s="5">
        <v>1</v>
      </c>
      <c r="DS7" s="1" t="str" cm="1">
        <f t="array" ref="DS7:DS21">IF($CH$25:$CH$39=0,"Not Played", $CH$25:$CH$39)</f>
        <v>Defense</v>
      </c>
      <c r="DT7" s="1" t="str">
        <f>$O$2</f>
        <v>Candle</v>
      </c>
      <c r="DU7" s="1" t="str" cm="1">
        <f t="array" ref="DU7:DU21">IF($CP$25:$CP39=0,"Not Played",$CP$25:$CP$39)</f>
        <v>Mute</v>
      </c>
      <c r="DV7" s="21" cm="1">
        <f t="array" ref="DV7">ConvertToRoundTime(secandmin(AC7),secandmin(CJ25),AD7)</f>
        <v>121</v>
      </c>
      <c r="DW7" s="1" t="str" cm="1">
        <f t="array" ref="DW7:DW21">IF($AE$7:$AE$21=0,FALSE,$AE$7:$AE$21)</f>
        <v>Hiperzz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0</v>
      </c>
      <c r="ED7" s="5">
        <v>1</v>
      </c>
      <c r="EE7" s="1">
        <f>SUM(IF(ES7=FALSE,0,1),IF(EZ7=FALSE,0,1),IF(FG7=FALSE,0,1),IF(FN7=FALSE,0,1),IF(FU7=FALSE,0,1))</f>
        <v>1</v>
      </c>
      <c r="EF7" s="1">
        <f>SUM(IF(EU7=TRUE,1,0),IF(FI7=TRUE,1,0),IF(FP7=TRUE,1,0),IF(FW7=TRUE,1,0),IF(FB7=TRUE,1,0))</f>
        <v>0</v>
      </c>
      <c r="EG7" s="1">
        <f>SUM(IF(EQ7=TRUE,1,0),IF(FE7=TRUE,1,0),IF(FL7=TRUE,1,0),IF(FS7=TRUE,1,0),IF(EX7=TRUE,1,0))</f>
        <v>1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1</v>
      </c>
      <c r="EJ7" s="1" t="b">
        <f>IF(ES7=FALSE,FALSE,TRUE)</f>
        <v>1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UNKNOWN</v>
      </c>
      <c r="EQ7" s="1" t="b">
        <v>1</v>
      </c>
      <c r="ER7" s="1" t="str">
        <v>Rye</v>
      </c>
      <c r="ES7" s="1">
        <v>54</v>
      </c>
      <c r="ET7" s="1" t="b">
        <v>0</v>
      </c>
      <c r="EU7" s="1" t="b">
        <v>0</v>
      </c>
      <c r="EV7" s="1" t="b" cm="1">
        <f t="array" ref="EV7">DeathTraded(ES7,$O$2,DV7,$O$2,DV23,$O$3,DV39,$O$4,DV55,$O$5,DV71,$O$6,$R$2)</f>
        <v>0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NOLOC</v>
      </c>
      <c r="FE7" s="1" t="b">
        <v>0</v>
      </c>
      <c r="FF7" s="1" t="b">
        <v>0</v>
      </c>
      <c r="FG7" s="1" t="b">
        <v>0</v>
      </c>
      <c r="FH7" s="1" t="b">
        <v>0</v>
      </c>
      <c r="FI7" s="1" t="b">
        <v>0</v>
      </c>
      <c r="FJ7" s="1" t="str" cm="1">
        <f t="array" ref="FJ7">DeathTraded(FG7,$O$2,DV7,$O$2,DV23,$O$3,DV39,$O$4,DV55,$O$5,DV71,$O$6,$R$2)</f>
        <v>N/A</v>
      </c>
      <c r="FK7" s="1" t="str" cm="1">
        <f t="array" ref="FK7:FP7">DetermineKill(ConvertToRoundTime(secandmin(CT7),secandmin(CJ25),CU7),CS7,CW7,CX7,CV7,CZ7,CY7,$O$2)</f>
        <v>NOLOC</v>
      </c>
      <c r="FL7" s="1" t="b">
        <v>0</v>
      </c>
      <c r="FM7" s="1" t="b">
        <v>0</v>
      </c>
      <c r="FN7" s="1" t="b">
        <v>0</v>
      </c>
      <c r="FO7" s="1" t="b">
        <v>0</v>
      </c>
      <c r="FP7" s="1" t="b">
        <v>0</v>
      </c>
      <c r="FQ7" s="1" t="str" cm="1">
        <f t="array" ref="FQ7">DeathTraded(FN7,$O$2,DV7,$O$2,DV23,$O$3,DV39,$O$4,DV55,$O$5,DV71,$O$6,$R$2)</f>
        <v>N/A</v>
      </c>
      <c r="FR7" s="1" t="str" cm="1">
        <f t="array" ref="FR7:FW7">DetermineKill(ConvertToRoundTime(secandmin(DC7),secandmin(CJ25),DD7),DB7,DF7,DG7,DE7,DI7,DH7,$O$2)</f>
        <v>NOLOC</v>
      </c>
      <c r="FS7" s="1" t="b">
        <v>0</v>
      </c>
      <c r="FT7" s="1" t="b">
        <v>0</v>
      </c>
      <c r="FU7" s="1" t="b">
        <v>0</v>
      </c>
      <c r="FV7" s="1" t="b">
        <v>0</v>
      </c>
      <c r="FW7" s="1" t="b">
        <v>0</v>
      </c>
      <c r="FX7" s="1" t="str" cm="1">
        <f t="array" ref="FX7">DeathTraded(FU7,$O$2,DV7,$O$2,DV23,$O$3,DV39,$O$4,DV55,$O$5,DV71,$O$6,$R$2)</f>
        <v>N/A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str" cm="1">
        <f t="array" ref="GF7">IF($V$2=TRUE,IF(CH25="Attack",ConvertToRoundTime(secandmin(BC25),secandmin(CJ25),BD25),""),"NO DATA")</f>
        <v/>
      </c>
      <c r="GG7" s="1" t="str" cm="1">
        <f t="array" ref="GG7">IF($V$2=TRUE,IF(CH25="Attack",ConvertToRoundTime(secandmin(BE25),secandmin(CJ25),BF25),"")," NO DATA")</f>
        <v/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384</v>
      </c>
      <c r="AD8" s="1" t="b">
        <v>0</v>
      </c>
      <c r="AE8" s="14" t="s">
        <v>374</v>
      </c>
      <c r="AF8" s="39"/>
      <c r="AG8" s="15"/>
      <c r="AH8" s="39"/>
      <c r="AJ8" s="4">
        <v>2</v>
      </c>
      <c r="AK8" s="44" t="s">
        <v>393</v>
      </c>
      <c r="AL8" s="1" t="b">
        <v>0</v>
      </c>
      <c r="AM8" s="14" t="s">
        <v>382</v>
      </c>
      <c r="AN8" s="39"/>
      <c r="AO8" s="15"/>
      <c r="AP8" s="39"/>
      <c r="AR8" s="4">
        <v>2</v>
      </c>
      <c r="AS8" s="44" t="s">
        <v>399</v>
      </c>
      <c r="AT8" s="1" t="b">
        <v>0</v>
      </c>
      <c r="AU8" s="14" t="s">
        <v>373</v>
      </c>
      <c r="AV8" s="39"/>
      <c r="AW8" s="15"/>
      <c r="AX8" s="39"/>
      <c r="AZ8" s="4">
        <v>2</v>
      </c>
      <c r="BA8" s="44" t="s">
        <v>405</v>
      </c>
      <c r="BB8" s="1" t="b">
        <v>0</v>
      </c>
      <c r="BC8" s="14" t="s">
        <v>373</v>
      </c>
      <c r="BD8" s="39"/>
      <c r="BE8" s="15"/>
      <c r="BF8" s="39"/>
      <c r="BH8" s="4">
        <v>2</v>
      </c>
      <c r="BI8" s="44" t="s">
        <v>413</v>
      </c>
      <c r="BJ8" s="1" t="b">
        <v>0</v>
      </c>
      <c r="BK8" s="14" t="s">
        <v>375</v>
      </c>
      <c r="BL8" s="39"/>
      <c r="BM8" s="15"/>
      <c r="BN8" s="39"/>
      <c r="BQ8" s="4">
        <v>2</v>
      </c>
      <c r="BR8" s="15"/>
      <c r="BS8" s="44"/>
      <c r="BT8" s="1" t="b">
        <v>0</v>
      </c>
      <c r="BU8" s="15"/>
      <c r="BV8" s="39"/>
      <c r="BW8" s="15"/>
      <c r="BX8" s="39"/>
      <c r="BY8" s="15"/>
      <c r="BZ8" s="4">
        <v>2</v>
      </c>
      <c r="CA8" s="15"/>
      <c r="CB8" s="44"/>
      <c r="CC8" s="1" t="b">
        <v>0</v>
      </c>
      <c r="CD8" s="15"/>
      <c r="CE8" s="39"/>
      <c r="CF8" s="15"/>
      <c r="CG8" s="39"/>
      <c r="CH8" s="15"/>
      <c r="CI8" s="4">
        <v>2</v>
      </c>
      <c r="CJ8" s="15"/>
      <c r="CK8" s="44"/>
      <c r="CL8" s="1" t="b">
        <v>0</v>
      </c>
      <c r="CM8" s="15"/>
      <c r="CN8" s="39"/>
      <c r="CO8" s="15"/>
      <c r="CP8" s="39"/>
      <c r="CQ8" s="15"/>
      <c r="CR8" s="4">
        <v>2</v>
      </c>
      <c r="CS8" s="15"/>
      <c r="CT8" s="44"/>
      <c r="CU8" s="1" t="b">
        <v>0</v>
      </c>
      <c r="CV8" s="15"/>
      <c r="CW8" s="39"/>
      <c r="CX8" s="15"/>
      <c r="CY8" s="39"/>
      <c r="CZ8" s="15"/>
      <c r="DA8" s="4">
        <v>2</v>
      </c>
      <c r="DB8" s="15"/>
      <c r="DC8" s="44"/>
      <c r="DD8" s="1" t="b">
        <v>0</v>
      </c>
      <c r="DE8" s="15"/>
      <c r="DF8" s="39"/>
      <c r="DG8" s="15"/>
      <c r="DH8" s="39"/>
      <c r="DI8" s="15"/>
      <c r="DP8" s="37"/>
      <c r="DQ8" s="49" t="str">
        <f ca="1">A2</f>
        <v>8_22 Clubhouse_1</v>
      </c>
      <c r="DR8" s="4">
        <v>2</v>
      </c>
      <c r="DS8" s="1" t="str">
        <v>Defense</v>
      </c>
      <c r="DT8" s="1" t="str">
        <f t="shared" ref="DT8:DT21" si="2">$O$2</f>
        <v>Candle</v>
      </c>
      <c r="DU8" s="1" t="str">
        <v>Wamai</v>
      </c>
      <c r="DV8" s="21" cm="1">
        <f t="array" ref="DV8">ConvertToRoundTime(secandmin(AC8),secandmin(CJ26),AD8)</f>
        <v>69</v>
      </c>
      <c r="DW8" s="1" t="str">
        <v>Lakqi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1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0</v>
      </c>
      <c r="EF8" s="1">
        <f t="shared" ref="EF8:EF21" si="4">SUM(IF(EU8=TRUE,1,0),IF(FI8=TRUE,1,0),IF(FP8=TRUE,1,0),IF(FW8=TRUE,1,0),IF(FB8=TRUE,1,0))</f>
        <v>0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0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NOLOC</v>
      </c>
      <c r="FE8" s="1" t="b">
        <v>0</v>
      </c>
      <c r="FF8" s="1" t="b">
        <v>0</v>
      </c>
      <c r="FG8" s="1" t="b">
        <v>0</v>
      </c>
      <c r="FH8" s="1" t="b">
        <v>0</v>
      </c>
      <c r="FI8" s="1" t="b">
        <v>0</v>
      </c>
      <c r="FJ8" s="1" t="str" cm="1">
        <f t="array" ref="FJ8">DeathTraded(FG8,$O$2,DV8,$O$2,DV24,$O$3,DV40,$O$4,DV56,$O$5,DV72,$O$6,$R$2)</f>
        <v>N/A</v>
      </c>
      <c r="FK8" s="1" t="str" cm="1">
        <f t="array" ref="FK8:FP8">DetermineKill(ConvertToRoundTime(secandmin(CT8),secandmin(CJ26),CU8),CS8,CW8,CX8,CV8,CZ8,CY8,$O$2)</f>
        <v>NOLOC</v>
      </c>
      <c r="FL8" s="1" t="b">
        <v>0</v>
      </c>
      <c r="FM8" s="1" t="b">
        <v>0</v>
      </c>
      <c r="FN8" s="1" t="b">
        <v>0</v>
      </c>
      <c r="FO8" s="1" t="b">
        <v>0</v>
      </c>
      <c r="FP8" s="1" t="b">
        <v>0</v>
      </c>
      <c r="FQ8" s="1" t="str" cm="1">
        <f t="array" ref="FQ8">DeathTraded(FN8,$O$2,DV8,$O$2,DV24,$O$3,DV40,$O$4,DV56,$O$5,DV72,$O$6,$R$2)</f>
        <v>N/A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str" cm="1">
        <f t="array" ref="GF8">IF($V$2=TRUE,IF(CH26="Attack",ConvertToRoundTime(secandmin(BC26),secandmin(CJ26),BD26),""),"NO DATA")</f>
        <v/>
      </c>
      <c r="GG8" s="1" t="str" cm="1">
        <f t="array" ref="GG8">IF($V$2=TRUE,IF(CH26="Attack",ConvertToRoundTime(secandmin(BE26),secandmin(CJ26),BF26),"")," NO DATA")</f>
        <v/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/>
      <c r="AD9" s="1" t="b">
        <v>0</v>
      </c>
      <c r="AE9" s="14"/>
      <c r="AF9" s="38"/>
      <c r="AG9" s="14"/>
      <c r="AH9" s="38"/>
      <c r="AJ9" s="5">
        <v>3</v>
      </c>
      <c r="AK9" s="43"/>
      <c r="AL9" s="1" t="b">
        <v>0</v>
      </c>
      <c r="AM9" s="14"/>
      <c r="AN9" s="38"/>
      <c r="AO9" s="14"/>
      <c r="AP9" s="38"/>
      <c r="AR9" s="5">
        <v>3</v>
      </c>
      <c r="AS9" s="43"/>
      <c r="AT9" s="1" t="b">
        <v>0</v>
      </c>
      <c r="AU9" s="14"/>
      <c r="AV9" s="38"/>
      <c r="AW9" s="14"/>
      <c r="AX9" s="38"/>
      <c r="AZ9" s="5">
        <v>3</v>
      </c>
      <c r="BA9" s="43"/>
      <c r="BB9" s="1" t="b">
        <v>0</v>
      </c>
      <c r="BC9" s="14"/>
      <c r="BD9" s="38"/>
      <c r="BE9" s="14"/>
      <c r="BF9" s="38"/>
      <c r="BH9" s="5">
        <v>3</v>
      </c>
      <c r="BI9" s="43"/>
      <c r="BJ9" s="1" t="b">
        <v>0</v>
      </c>
      <c r="BK9" s="14"/>
      <c r="BL9" s="38"/>
      <c r="BM9" s="14"/>
      <c r="BN9" s="38"/>
      <c r="BQ9" s="5">
        <v>3</v>
      </c>
      <c r="BR9" s="14" t="s">
        <v>379</v>
      </c>
      <c r="BS9" s="43" t="s">
        <v>424</v>
      </c>
      <c r="BT9" s="1" t="b">
        <v>0</v>
      </c>
      <c r="BU9" s="14"/>
      <c r="BV9" s="38"/>
      <c r="BW9" s="14" t="s">
        <v>373</v>
      </c>
      <c r="BX9" s="38"/>
      <c r="BY9" s="14" t="b">
        <v>1</v>
      </c>
      <c r="BZ9" s="5">
        <v>3</v>
      </c>
      <c r="CA9" s="14" t="s">
        <v>381</v>
      </c>
      <c r="CB9" s="43" t="s">
        <v>425</v>
      </c>
      <c r="CC9" s="1" t="b">
        <v>0</v>
      </c>
      <c r="CD9" s="14"/>
      <c r="CE9" s="38"/>
      <c r="CF9" s="14" t="s">
        <v>374</v>
      </c>
      <c r="CG9" s="38"/>
      <c r="CH9" s="14" t="b">
        <v>1</v>
      </c>
      <c r="CI9" s="5">
        <v>3</v>
      </c>
      <c r="CJ9" s="14" t="s">
        <v>380</v>
      </c>
      <c r="CK9" s="43" t="s">
        <v>383</v>
      </c>
      <c r="CL9" s="1" t="b">
        <v>0</v>
      </c>
      <c r="CM9" s="14"/>
      <c r="CN9" s="38"/>
      <c r="CO9" s="14" t="s">
        <v>375</v>
      </c>
      <c r="CP9" s="38"/>
      <c r="CQ9" s="14" t="b">
        <v>1</v>
      </c>
      <c r="CR9" s="5">
        <v>3</v>
      </c>
      <c r="CS9" s="14" t="s">
        <v>377</v>
      </c>
      <c r="CT9" s="43" t="s">
        <v>426</v>
      </c>
      <c r="CU9" s="1" t="b">
        <v>0</v>
      </c>
      <c r="CV9" s="14"/>
      <c r="CW9" s="38"/>
      <c r="CX9" s="14" t="s">
        <v>382</v>
      </c>
      <c r="CY9" s="38"/>
      <c r="CZ9" s="14" t="b">
        <v>1</v>
      </c>
      <c r="DA9" s="5">
        <v>3</v>
      </c>
      <c r="DB9" s="14" t="s">
        <v>377</v>
      </c>
      <c r="DC9" s="43" t="s">
        <v>364</v>
      </c>
      <c r="DD9" s="1" t="b">
        <v>0</v>
      </c>
      <c r="DE9" s="14"/>
      <c r="DF9" s="38"/>
      <c r="DG9" s="14" t="s">
        <v>376</v>
      </c>
      <c r="DH9" s="38"/>
      <c r="DI9" s="14" t="b">
        <v>1</v>
      </c>
      <c r="DP9" s="37"/>
      <c r="DQ9" s="49" t="str">
        <f ca="1">A2</f>
        <v>8_22 Clubhouse_1</v>
      </c>
      <c r="DR9" s="5">
        <v>3</v>
      </c>
      <c r="DS9" s="1" t="str">
        <v>Defense</v>
      </c>
      <c r="DT9" s="1" t="str">
        <f t="shared" si="2"/>
        <v>Candle</v>
      </c>
      <c r="DU9" s="1" t="str">
        <v>Oryx</v>
      </c>
      <c r="DV9" s="21" t="b" cm="1">
        <f t="array" ref="DV9">ConvertToRoundTime(secandmin(AC9),secandmin(CJ27),AD9)</f>
        <v>0</v>
      </c>
      <c r="DW9" s="1" t="b">
        <v>0</v>
      </c>
      <c r="DX9" s="1" t="str" cm="1">
        <f t="array" ref="DX9">DeathRefragged(DV9,MAX(ES9,ES25,ES41,ES57,ES73,FA90),MAX(EZ9,EZ25,EZ41,EZ57,EZ73,FI90),MAX(FG9,FG25,FG41,FG57,FG73,FP90),MAX(FN9,FN25,FN41,FN57,FN73,FW90),MAX(FU9,FU25,FU41,FU57,FU73,GD90),$Q$2)</f>
        <v>N/A</v>
      </c>
      <c r="DY9" s="1" t="str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2</v>
      </c>
      <c r="EF9" s="1">
        <f t="shared" si="4"/>
        <v>2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1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UNKNOWN</v>
      </c>
      <c r="FL9" s="1" t="b">
        <v>0</v>
      </c>
      <c r="FM9" s="1" t="str">
        <v>Hox</v>
      </c>
      <c r="FN9" s="1">
        <v>127</v>
      </c>
      <c r="FO9" s="1" t="b">
        <v>0</v>
      </c>
      <c r="FP9" s="1" t="b">
        <v>1</v>
      </c>
      <c r="FQ9" s="1" t="b" cm="1">
        <f t="array" ref="FQ9">DeathTraded(FN9,$O$2,DV9,$O$2,DV25,$O$3,DV41,$O$4,DV57,$O$5,DV73,$O$6,$R$2)</f>
        <v>0</v>
      </c>
      <c r="FR9" s="1" t="str" cm="1">
        <f t="array" ref="FR9:FW9">DetermineKill(ConvertToRoundTime(secandmin(DC9),secandmin(CJ27),DD9),DB9,DF9,DG9,DE9,DI9,DH9,$O$2)</f>
        <v>UNKNOWN</v>
      </c>
      <c r="FS9" s="1" t="b">
        <v>0</v>
      </c>
      <c r="FT9" s="1" t="str">
        <v>Saryz</v>
      </c>
      <c r="FU9" s="1">
        <v>130</v>
      </c>
      <c r="FV9" s="1" t="b">
        <v>0</v>
      </c>
      <c r="FW9" s="1" t="b">
        <v>1</v>
      </c>
      <c r="FX9" s="1" t="b" cm="1">
        <f t="array" ref="FX9">DeathTraded(FU9,$O$2,DV9,$O$2,DV25,$O$3,DV41,$O$4,DV57,$O$5,DV73,$O$6,$R$2)</f>
        <v>0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str" cm="1">
        <f t="array" ref="GF9">IF($V$2=TRUE,IF(CH27="Attack",ConvertToRoundTime(secandmin(BC27),secandmin(CJ27),BD27),""),"NO DATA")</f>
        <v/>
      </c>
      <c r="GG9" s="1" t="str" cm="1">
        <f t="array" ref="GG9">IF($V$2=TRUE,IF(CH27="Attack",ConvertToRoundTime(secandmin(BE27),secandmin(CJ27),BF27),"")," NO DATA")</f>
        <v/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 t="s">
        <v>385</v>
      </c>
      <c r="AD10" s="1" t="b">
        <v>0</v>
      </c>
      <c r="AE10" s="14" t="s">
        <v>375</v>
      </c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398</v>
      </c>
      <c r="AT10" s="1" t="b">
        <v>0</v>
      </c>
      <c r="AU10" s="14" t="s">
        <v>375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414</v>
      </c>
      <c r="BJ10" s="1" t="b">
        <v>0</v>
      </c>
      <c r="BK10" s="14" t="s">
        <v>375</v>
      </c>
      <c r="BL10" s="39"/>
      <c r="BM10" s="15"/>
      <c r="BN10" s="39"/>
      <c r="BQ10" s="4">
        <v>4</v>
      </c>
      <c r="BR10" s="15" t="s">
        <v>381</v>
      </c>
      <c r="BS10" s="44" t="s">
        <v>407</v>
      </c>
      <c r="BT10" s="1" t="b">
        <v>0</v>
      </c>
      <c r="BU10" s="15"/>
      <c r="BV10" s="39"/>
      <c r="BW10" s="15" t="s">
        <v>373</v>
      </c>
      <c r="BX10" s="39"/>
      <c r="BY10" s="15" t="b">
        <v>1</v>
      </c>
      <c r="BZ10" s="4">
        <v>4</v>
      </c>
      <c r="CA10" s="15" t="s">
        <v>381</v>
      </c>
      <c r="CB10" s="44" t="s">
        <v>427</v>
      </c>
      <c r="CC10" s="1" t="b">
        <v>0</v>
      </c>
      <c r="CD10" s="15"/>
      <c r="CE10" s="39"/>
      <c r="CF10" s="15" t="s">
        <v>374</v>
      </c>
      <c r="CG10" s="39"/>
      <c r="CH10" s="15" t="b">
        <v>1</v>
      </c>
      <c r="CI10" s="4">
        <v>4</v>
      </c>
      <c r="CJ10" s="15" t="s">
        <v>381</v>
      </c>
      <c r="CK10" s="44" t="s">
        <v>428</v>
      </c>
      <c r="CL10" s="1" t="b">
        <v>0</v>
      </c>
      <c r="CM10" s="15"/>
      <c r="CN10" s="39"/>
      <c r="CO10" s="15" t="s">
        <v>382</v>
      </c>
      <c r="CP10" s="39"/>
      <c r="CQ10" s="15" t="b">
        <v>1</v>
      </c>
      <c r="CR10" s="4">
        <v>4</v>
      </c>
      <c r="CS10" s="15" t="s">
        <v>378</v>
      </c>
      <c r="CT10" s="44" t="s">
        <v>429</v>
      </c>
      <c r="CU10" s="1" t="b">
        <v>0</v>
      </c>
      <c r="CV10" s="15"/>
      <c r="CW10" s="39"/>
      <c r="CX10" s="15" t="s">
        <v>375</v>
      </c>
      <c r="CY10" s="39"/>
      <c r="CZ10" s="15" t="b">
        <v>1</v>
      </c>
      <c r="DA10" s="4">
        <v>4</v>
      </c>
      <c r="DB10" s="15" t="s">
        <v>430</v>
      </c>
      <c r="DC10" s="44" t="s">
        <v>429</v>
      </c>
      <c r="DD10" s="1" t="b">
        <v>0</v>
      </c>
      <c r="DE10" s="15"/>
      <c r="DF10" s="39"/>
      <c r="DG10" s="15" t="s">
        <v>376</v>
      </c>
      <c r="DH10" s="39"/>
      <c r="DI10" s="15"/>
      <c r="DP10" s="37"/>
      <c r="DQ10" s="49" t="str">
        <f ca="1">A2</f>
        <v>8_22 Clubhouse_1</v>
      </c>
      <c r="DR10" s="4">
        <v>4</v>
      </c>
      <c r="DS10" s="1" t="str">
        <v>Defense</v>
      </c>
      <c r="DT10" s="1" t="str">
        <f t="shared" si="2"/>
        <v>Candle</v>
      </c>
      <c r="DU10" s="1" t="str">
        <v>Mute</v>
      </c>
      <c r="DV10" s="21" cm="1">
        <f t="array" ref="DV10">ConvertToRoundTime(secandmin(AC10),secandmin(CJ28),AD10)</f>
        <v>171</v>
      </c>
      <c r="DW10" s="1" t="str">
        <v>Rye</v>
      </c>
      <c r="DX10" s="1" t="b" cm="1">
        <f t="array" ref="DX10">DeathRefragged(DV10,MAX(ES10,ES26,ES42,ES58,ES74,FA91),MAX(EZ10,EZ26,EZ42,EZ58,EZ74,FI91),MAX(FG10,FG26,FG42,FG58,FG74,FP91),MAX(FN10,FN26,FN42,FN58,FN74,FW91),MAX(FU10,FU26,FU42,FU58,FU74,GD91),$Q$2)</f>
        <v>1</v>
      </c>
      <c r="DY10" s="1" t="b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0</v>
      </c>
      <c r="EF10" s="1">
        <f t="shared" si="4"/>
        <v>0</v>
      </c>
      <c r="EG10" s="1">
        <f t="shared" si="5"/>
        <v>0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0</v>
      </c>
      <c r="EK10" s="4">
        <v>4</v>
      </c>
      <c r="EL10" s="1" t="b">
        <v>0</v>
      </c>
      <c r="EM10" s="1" t="b" cm="1">
        <f t="array" ref="EM10">IF(NOT(ISBLANK(CP28)),KOST(EE10,DY10,DV10,EL10),"NOT PLAYED")</f>
        <v>0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NOLOC</v>
      </c>
      <c r="EQ10" s="1" t="b">
        <v>0</v>
      </c>
      <c r="ER10" s="1" t="b">
        <v>0</v>
      </c>
      <c r="ES10" s="1" t="b">
        <v>0</v>
      </c>
      <c r="ET10" s="1" t="b">
        <v>0</v>
      </c>
      <c r="EU10" s="1" t="b">
        <v>0</v>
      </c>
      <c r="EV10" s="1" t="str" cm="1">
        <f t="array" ref="EV10">DeathTraded(ES10,$O$2,DV10,$O$2,DV26,$O$3,DV42,$O$4,DV58,$O$5,DV74,$O$6,$R$2)</f>
        <v>N/A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NOLOC</v>
      </c>
      <c r="FE10" s="1" t="b">
        <v>0</v>
      </c>
      <c r="FF10" s="1" t="b">
        <v>0</v>
      </c>
      <c r="FG10" s="1" t="b">
        <v>0</v>
      </c>
      <c r="FH10" s="1" t="b">
        <v>0</v>
      </c>
      <c r="FI10" s="1" t="b">
        <v>0</v>
      </c>
      <c r="FJ10" s="1" t="str" cm="1">
        <f t="array" ref="FJ10">DeathTraded(FG10,$O$2,DV10,$O$2,DV26,$O$3,DV42,$O$4,DV58,$O$5,DV74,$O$6,$R$2)</f>
        <v>N/A</v>
      </c>
      <c r="FK10" s="1" t="str" cm="1">
        <f t="array" ref="FK10:FP10">DetermineKill(ConvertToRoundTime(secandmin(CT10),secandmin(CJ28),CU10),CS10,CW10,CX10,CV10,CZ10,CY10,$O$2)</f>
        <v>NOLOC</v>
      </c>
      <c r="FL10" s="1" t="b">
        <v>0</v>
      </c>
      <c r="FM10" s="1" t="b">
        <v>0</v>
      </c>
      <c r="FN10" s="1" t="b">
        <v>0</v>
      </c>
      <c r="FO10" s="1" t="b">
        <v>0</v>
      </c>
      <c r="FP10" s="1" t="b">
        <v>0</v>
      </c>
      <c r="FQ10" s="1" t="str" cm="1">
        <f t="array" ref="FQ10">DeathTraded(FN10,$O$2,DV10,$O$2,DV26,$O$3,DV42,$O$4,DV58,$O$5,DV74,$O$6,$R$2)</f>
        <v>N/A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str" cm="1">
        <f t="array" ref="GF10">IF($V$2=TRUE,IF(CH28="Attack",ConvertToRoundTime(secandmin(BC28),secandmin(CJ28),BD28),""),"NO DATA")</f>
        <v/>
      </c>
      <c r="GG10" s="1" t="str" cm="1">
        <f t="array" ref="GG10">IF($V$2=TRUE,IF(CH28="Attack",ConvertToRoundTime(secandmin(BE28),secandmin(CJ28),BF28),"")," NO DATA")</f>
        <v/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386</v>
      </c>
      <c r="AD11" s="1" t="b">
        <v>0</v>
      </c>
      <c r="AE11" s="14" t="s">
        <v>376</v>
      </c>
      <c r="AF11" s="38"/>
      <c r="AG11" s="14"/>
      <c r="AH11" s="38"/>
      <c r="AJ11" s="5">
        <v>5</v>
      </c>
      <c r="AK11" s="43" t="s">
        <v>394</v>
      </c>
      <c r="AL11" s="1" t="b">
        <v>0</v>
      </c>
      <c r="AM11" s="14" t="s">
        <v>376</v>
      </c>
      <c r="AN11" s="38"/>
      <c r="AO11" s="14"/>
      <c r="AP11" s="38"/>
      <c r="AR11" s="5">
        <v>5</v>
      </c>
      <c r="AS11" s="43" t="s">
        <v>400</v>
      </c>
      <c r="AT11" s="1" t="b">
        <v>0</v>
      </c>
      <c r="AU11" s="14" t="s">
        <v>374</v>
      </c>
      <c r="AV11" s="38"/>
      <c r="AW11" s="14"/>
      <c r="AX11" s="38"/>
      <c r="AZ11" s="5">
        <v>5</v>
      </c>
      <c r="BA11" s="43"/>
      <c r="BB11" s="1" t="b">
        <v>0</v>
      </c>
      <c r="BC11" s="14"/>
      <c r="BD11" s="38"/>
      <c r="BE11" s="14"/>
      <c r="BF11" s="38"/>
      <c r="BH11" s="5">
        <v>5</v>
      </c>
      <c r="BI11" s="43"/>
      <c r="BJ11" s="1" t="b">
        <v>0</v>
      </c>
      <c r="BK11" s="14"/>
      <c r="BL11" s="38"/>
      <c r="BM11" s="14"/>
      <c r="BN11" s="38"/>
      <c r="BQ11" s="5">
        <v>5</v>
      </c>
      <c r="BR11" s="14" t="s">
        <v>379</v>
      </c>
      <c r="BS11" s="43" t="s">
        <v>431</v>
      </c>
      <c r="BT11" s="1" t="b">
        <v>0</v>
      </c>
      <c r="BU11" s="14"/>
      <c r="BV11" s="38"/>
      <c r="BW11" s="14" t="s">
        <v>373</v>
      </c>
      <c r="BX11" s="38"/>
      <c r="BY11" s="14"/>
      <c r="BZ11" s="5">
        <v>5</v>
      </c>
      <c r="CA11" s="14" t="s">
        <v>381</v>
      </c>
      <c r="CB11" s="43" t="s">
        <v>432</v>
      </c>
      <c r="CC11" s="1" t="b">
        <v>0</v>
      </c>
      <c r="CD11" s="14"/>
      <c r="CE11" s="38"/>
      <c r="CF11" s="14" t="s">
        <v>382</v>
      </c>
      <c r="CG11" s="38"/>
      <c r="CH11" s="14" t="b">
        <v>1</v>
      </c>
      <c r="CI11" s="5">
        <v>5</v>
      </c>
      <c r="CJ11" s="14" t="s">
        <v>381</v>
      </c>
      <c r="CK11" s="43" t="s">
        <v>433</v>
      </c>
      <c r="CL11" s="1" t="b">
        <v>0</v>
      </c>
      <c r="CM11" s="14"/>
      <c r="CN11" s="38"/>
      <c r="CO11" s="14" t="s">
        <v>376</v>
      </c>
      <c r="CP11" s="38"/>
      <c r="CQ11" s="14"/>
      <c r="CR11" s="5">
        <v>5</v>
      </c>
      <c r="CS11" s="14" t="s">
        <v>381</v>
      </c>
      <c r="CT11" s="43" t="s">
        <v>359</v>
      </c>
      <c r="CU11" s="1" t="b">
        <v>0</v>
      </c>
      <c r="CV11" s="14"/>
      <c r="CW11" s="38"/>
      <c r="CX11" s="14" t="s">
        <v>375</v>
      </c>
      <c r="CY11" s="38"/>
      <c r="CZ11" s="14"/>
      <c r="DA11" s="5">
        <v>5</v>
      </c>
      <c r="DB11" s="14" t="s">
        <v>381</v>
      </c>
      <c r="DC11" s="43" t="s">
        <v>434</v>
      </c>
      <c r="DD11" s="1" t="b">
        <v>0</v>
      </c>
      <c r="DE11" s="14"/>
      <c r="DF11" s="38"/>
      <c r="DG11" s="14" t="s">
        <v>374</v>
      </c>
      <c r="DH11" s="38"/>
      <c r="DI11" s="14" t="b">
        <v>1</v>
      </c>
      <c r="DP11" s="37"/>
      <c r="DQ11" s="49" t="str">
        <f ca="1">A2</f>
        <v>8_22 Clubhouse_1</v>
      </c>
      <c r="DR11" s="5">
        <v>5</v>
      </c>
      <c r="DS11" s="1" t="str">
        <v>Defense</v>
      </c>
      <c r="DT11" s="1" t="str">
        <f t="shared" si="2"/>
        <v>Candle</v>
      </c>
      <c r="DU11" s="1" t="str">
        <v>Warden</v>
      </c>
      <c r="DV11" s="21" cm="1">
        <f t="array" ref="DV11">ConvertToRoundTime(secandmin(AC11),secandmin(CJ29),AD11)</f>
        <v>132</v>
      </c>
      <c r="DW11" s="1" t="str">
        <v>Saryz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1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str" cm="1">
        <f t="array" ref="GF11">IF($V$2=TRUE,IF(CH29="Attack",ConvertToRoundTime(secandmin(BC29),secandmin(CJ29),BD29),""),"NO DATA")</f>
        <v/>
      </c>
      <c r="GG11" s="1" t="str" cm="1">
        <f t="array" ref="GG11">IF($V$2=TRUE,IF(CH29="Attack",ConvertToRoundTime(secandmin(BE29),secandmin(CJ29),BF29),"")," NO DATA")</f>
        <v/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387</v>
      </c>
      <c r="AD12" s="1" t="b">
        <v>0</v>
      </c>
      <c r="AE12" s="14" t="s">
        <v>376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/>
      <c r="AT12" s="1" t="b">
        <v>0</v>
      </c>
      <c r="AU12" s="14"/>
      <c r="AV12" s="39"/>
      <c r="AW12" s="15"/>
      <c r="AX12" s="39"/>
      <c r="AZ12" s="4">
        <v>6</v>
      </c>
      <c r="BA12" s="44"/>
      <c r="BB12" s="1" t="b">
        <v>0</v>
      </c>
      <c r="BC12" s="14"/>
      <c r="BD12" s="39"/>
      <c r="BE12" s="15"/>
      <c r="BF12" s="39"/>
      <c r="BH12" s="4">
        <v>6</v>
      </c>
      <c r="BI12" s="44"/>
      <c r="BJ12" s="1" t="b">
        <v>0</v>
      </c>
      <c r="BK12" s="14"/>
      <c r="BL12" s="39"/>
      <c r="BM12" s="15"/>
      <c r="BN12" s="39"/>
      <c r="BQ12" s="4">
        <v>6</v>
      </c>
      <c r="BR12" s="15" t="s">
        <v>379</v>
      </c>
      <c r="BS12" s="44" t="s">
        <v>435</v>
      </c>
      <c r="BT12" s="1" t="b">
        <v>0</v>
      </c>
      <c r="BU12" s="15"/>
      <c r="BV12" s="39"/>
      <c r="BW12" s="15" t="s">
        <v>374</v>
      </c>
      <c r="BX12" s="39"/>
      <c r="BY12" s="15" t="b">
        <v>1</v>
      </c>
      <c r="BZ12" s="4">
        <v>6</v>
      </c>
      <c r="CA12" s="15" t="s">
        <v>378</v>
      </c>
      <c r="CB12" s="44" t="s">
        <v>436</v>
      </c>
      <c r="CC12" s="1" t="b">
        <v>0</v>
      </c>
      <c r="CD12" s="15"/>
      <c r="CE12" s="39"/>
      <c r="CF12" s="15" t="s">
        <v>373</v>
      </c>
      <c r="CG12" s="39"/>
      <c r="CH12" s="15" t="b">
        <v>1</v>
      </c>
      <c r="CI12" s="4">
        <v>6</v>
      </c>
      <c r="CJ12" s="15" t="s">
        <v>378</v>
      </c>
      <c r="CK12" s="44" t="s">
        <v>437</v>
      </c>
      <c r="CL12" s="1" t="b">
        <v>0</v>
      </c>
      <c r="CM12" s="15"/>
      <c r="CN12" s="39" t="b">
        <v>1</v>
      </c>
      <c r="CO12" s="15" t="s">
        <v>382</v>
      </c>
      <c r="CP12" s="39"/>
      <c r="CQ12" s="15"/>
      <c r="CR12" s="4">
        <v>6</v>
      </c>
      <c r="CS12" s="15" t="s">
        <v>378</v>
      </c>
      <c r="CT12" s="44" t="s">
        <v>438</v>
      </c>
      <c r="CU12" s="1" t="b">
        <v>0</v>
      </c>
      <c r="CV12" s="15"/>
      <c r="CW12" s="39"/>
      <c r="CX12" s="15" t="s">
        <v>376</v>
      </c>
      <c r="CY12" s="39"/>
      <c r="CZ12" s="15" t="b">
        <v>1</v>
      </c>
      <c r="DA12" s="4">
        <v>6</v>
      </c>
      <c r="DB12" s="15" t="s">
        <v>378</v>
      </c>
      <c r="DC12" s="44" t="s">
        <v>439</v>
      </c>
      <c r="DD12" s="1" t="b">
        <v>0</v>
      </c>
      <c r="DE12" s="15"/>
      <c r="DF12" s="39"/>
      <c r="DG12" s="15" t="s">
        <v>375</v>
      </c>
      <c r="DH12" s="39"/>
      <c r="DI12" s="15"/>
      <c r="DP12" s="37"/>
      <c r="DQ12" s="49" t="str">
        <f ca="1">A2</f>
        <v>8_22 Clubhouse_1</v>
      </c>
      <c r="DR12" s="4">
        <v>6</v>
      </c>
      <c r="DS12" s="1" t="str">
        <v>Defense</v>
      </c>
      <c r="DT12" s="1" t="str">
        <f t="shared" si="2"/>
        <v>Candle</v>
      </c>
      <c r="DU12" s="1" t="str">
        <v>Oryx</v>
      </c>
      <c r="DV12" s="21" cm="1">
        <f t="array" ref="DV12">ConvertToRoundTime(secandmin(AC12),secandmin(CJ30),AD12)</f>
        <v>64</v>
      </c>
      <c r="DW12" s="1" t="str">
        <v>Saryz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1</v>
      </c>
      <c r="ED12" s="4">
        <v>6</v>
      </c>
      <c r="EE12" s="1">
        <f t="shared" si="3"/>
        <v>0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0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NOLOC</v>
      </c>
      <c r="FL12" s="1" t="b">
        <v>0</v>
      </c>
      <c r="FM12" s="1" t="b">
        <v>0</v>
      </c>
      <c r="FN12" s="1" t="b">
        <v>0</v>
      </c>
      <c r="FO12" s="1" t="b">
        <v>0</v>
      </c>
      <c r="FP12" s="1" t="b">
        <v>0</v>
      </c>
      <c r="FQ12" s="1" t="str" cm="1">
        <f t="array" ref="FQ12">DeathTraded(FN12,$O$2,DV12,$O$2,DV28,$O$3,DV44,$O$4,DV60,$O$5,DV76,$O$6,$R$2)</f>
        <v>N/A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str" cm="1">
        <f t="array" ref="GF12">IF($V$2=TRUE,IF(CH30="Attack",ConvertToRoundTime(secandmin(BC30),secandmin(CJ30),BD30),""),"NO DATA")</f>
        <v/>
      </c>
      <c r="GG12" s="1" t="str" cm="1">
        <f t="array" ref="GG12">IF($V$2=TRUE,IF(CH30="Attack",ConvertToRoundTime(secandmin(BE30),secandmin(CJ30),BF30),"")," NO DATA")</f>
        <v/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388</v>
      </c>
      <c r="AD13" s="1" t="b">
        <v>0</v>
      </c>
      <c r="AE13" s="14" t="s">
        <v>373</v>
      </c>
      <c r="AF13" s="38"/>
      <c r="AG13" s="14"/>
      <c r="AH13" s="38"/>
      <c r="AJ13" s="5">
        <v>7</v>
      </c>
      <c r="AK13" s="43" t="s">
        <v>385</v>
      </c>
      <c r="AL13" s="1" t="b">
        <v>0</v>
      </c>
      <c r="AM13" s="14" t="s">
        <v>382</v>
      </c>
      <c r="AN13" s="38"/>
      <c r="AO13" s="14"/>
      <c r="AP13" s="38"/>
      <c r="AR13" s="5">
        <v>7</v>
      </c>
      <c r="AS13" s="43" t="s">
        <v>401</v>
      </c>
      <c r="AT13" s="1" t="b">
        <v>0</v>
      </c>
      <c r="AU13" s="14" t="s">
        <v>375</v>
      </c>
      <c r="AV13" s="38"/>
      <c r="AW13" s="14"/>
      <c r="AX13" s="38"/>
      <c r="AZ13" s="5">
        <v>7</v>
      </c>
      <c r="BA13" s="43" t="s">
        <v>406</v>
      </c>
      <c r="BB13" s="1" t="b">
        <v>0</v>
      </c>
      <c r="BC13" s="14" t="s">
        <v>373</v>
      </c>
      <c r="BD13" s="38"/>
      <c r="BE13" s="14"/>
      <c r="BF13" s="38"/>
      <c r="BH13" s="5">
        <v>7</v>
      </c>
      <c r="BI13" s="43" t="s">
        <v>412</v>
      </c>
      <c r="BJ13" s="1" t="b">
        <v>0</v>
      </c>
      <c r="BK13" s="14" t="s">
        <v>374</v>
      </c>
      <c r="BL13" s="38"/>
      <c r="BM13" s="14"/>
      <c r="BN13" s="38"/>
      <c r="BQ13" s="5">
        <v>7</v>
      </c>
      <c r="BR13" s="14" t="s">
        <v>377</v>
      </c>
      <c r="BS13" s="43" t="s">
        <v>440</v>
      </c>
      <c r="BT13" s="1" t="b">
        <v>0</v>
      </c>
      <c r="BU13" s="14"/>
      <c r="BV13" s="38" t="b">
        <v>1</v>
      </c>
      <c r="BW13" s="14" t="s">
        <v>376</v>
      </c>
      <c r="BX13" s="38"/>
      <c r="BY13" s="14"/>
      <c r="BZ13" s="5">
        <v>7</v>
      </c>
      <c r="CA13" s="14" t="s">
        <v>378</v>
      </c>
      <c r="CB13" s="43" t="s">
        <v>361</v>
      </c>
      <c r="CC13" s="1" t="b">
        <v>0</v>
      </c>
      <c r="CD13" s="14"/>
      <c r="CE13" s="38"/>
      <c r="CF13" s="14" t="s">
        <v>374</v>
      </c>
      <c r="CG13" s="38"/>
      <c r="CH13" s="14" t="b">
        <v>1</v>
      </c>
      <c r="CI13" s="5">
        <v>7</v>
      </c>
      <c r="CJ13" s="14" t="s">
        <v>379</v>
      </c>
      <c r="CK13" s="43" t="s">
        <v>362</v>
      </c>
      <c r="CL13" s="1" t="b">
        <v>0</v>
      </c>
      <c r="CM13" s="14"/>
      <c r="CN13" s="38"/>
      <c r="CO13" s="14" t="s">
        <v>373</v>
      </c>
      <c r="CP13" s="38"/>
      <c r="CQ13" s="14"/>
      <c r="CR13" s="5">
        <v>7</v>
      </c>
      <c r="CS13" s="14"/>
      <c r="CT13" s="43"/>
      <c r="CU13" s="1" t="b">
        <v>0</v>
      </c>
      <c r="CV13" s="14"/>
      <c r="CW13" s="38"/>
      <c r="CX13" s="14"/>
      <c r="CY13" s="38"/>
      <c r="CZ13" s="14"/>
      <c r="DA13" s="5">
        <v>7</v>
      </c>
      <c r="DB13" s="14"/>
      <c r="DC13" s="43"/>
      <c r="DD13" s="1" t="b">
        <v>0</v>
      </c>
      <c r="DE13" s="14"/>
      <c r="DF13" s="38"/>
      <c r="DG13" s="14"/>
      <c r="DH13" s="38"/>
      <c r="DI13" s="14"/>
      <c r="DP13" s="37"/>
      <c r="DQ13" s="49" t="str">
        <f ca="1">A2</f>
        <v>8_22 Clubhouse_1</v>
      </c>
      <c r="DR13" s="5">
        <v>7</v>
      </c>
      <c r="DS13" s="1" t="str">
        <v>Attack</v>
      </c>
      <c r="DT13" s="1" t="str">
        <f t="shared" si="2"/>
        <v>Candle</v>
      </c>
      <c r="DU13" s="1" t="str">
        <v>Iana</v>
      </c>
      <c r="DV13" s="21" cm="1">
        <f t="array" ref="DV13">ConvertToRoundTime(secandmin(AC13),secandmin(CJ31),AD13)</f>
        <v>95</v>
      </c>
      <c r="DW13" s="1" t="str">
        <v>Hiperzz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1</v>
      </c>
      <c r="EF13" s="1">
        <f t="shared" si="4"/>
        <v>0</v>
      </c>
      <c r="EG13" s="1">
        <f t="shared" si="5"/>
        <v>1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1</v>
      </c>
      <c r="EJ13" s="1" t="b">
        <f t="shared" si="6"/>
        <v>1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UNKNOWN</v>
      </c>
      <c r="EQ13" s="1" t="b">
        <v>1</v>
      </c>
      <c r="ER13" s="1" t="str">
        <v>Saryz</v>
      </c>
      <c r="ES13" s="1">
        <v>49</v>
      </c>
      <c r="ET13" s="1" t="b">
        <v>0</v>
      </c>
      <c r="EU13" s="1" t="b">
        <v>0</v>
      </c>
      <c r="EV13" s="1" t="b" cm="1">
        <f t="array" ref="EV13">DeathTraded(ES13,$O$2,DV13,$O$2,DV29,$O$3,DV45,$O$4,DV61,$O$5,DV77,$O$6,$R$2)</f>
        <v>0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b" cm="1">
        <f t="array" ref="GF13">IF($V$2=TRUE,IF(CH31="Attack",ConvertToRoundTime(secandmin(BC31),secandmin(CJ31),BD31),""),"NO DATA")</f>
        <v>0</v>
      </c>
      <c r="GG13" s="1" t="b" cm="1">
        <f t="array" ref="GG13">IF($V$2=TRUE,IF(CH31="Attack",ConvertToRoundTime(secandmin(BE31),secandmin(CJ31),BF31),"")," NO DATA")</f>
        <v>0</v>
      </c>
    </row>
    <row r="14" spans="1:189" x14ac:dyDescent="0.25">
      <c r="AB14" s="4">
        <v>8</v>
      </c>
      <c r="AC14" s="44" t="s">
        <v>389</v>
      </c>
      <c r="AD14" s="1" t="b">
        <v>0</v>
      </c>
      <c r="AE14" s="14" t="s">
        <v>374</v>
      </c>
      <c r="AF14" s="39"/>
      <c r="AG14" s="15"/>
      <c r="AH14" s="39"/>
      <c r="AJ14" s="4">
        <v>8</v>
      </c>
      <c r="AK14" s="44" t="s">
        <v>395</v>
      </c>
      <c r="AL14" s="1" t="b">
        <v>0</v>
      </c>
      <c r="AM14" s="14" t="s">
        <v>374</v>
      </c>
      <c r="AN14" s="39"/>
      <c r="AO14" s="15"/>
      <c r="AP14" s="39"/>
      <c r="AR14" s="4">
        <v>8</v>
      </c>
      <c r="AS14" s="44" t="s">
        <v>365</v>
      </c>
      <c r="AT14" s="1" t="b">
        <v>0</v>
      </c>
      <c r="AU14" s="14" t="s">
        <v>382</v>
      </c>
      <c r="AV14" s="39"/>
      <c r="AW14" s="15"/>
      <c r="AX14" s="39"/>
      <c r="AZ14" s="4">
        <v>8</v>
      </c>
      <c r="BA14" s="44" t="s">
        <v>407</v>
      </c>
      <c r="BB14" s="1" t="b">
        <v>0</v>
      </c>
      <c r="BC14" s="14" t="s">
        <v>376</v>
      </c>
      <c r="BD14" s="39"/>
      <c r="BE14" s="15"/>
      <c r="BF14" s="39"/>
      <c r="BH14" s="4">
        <v>8</v>
      </c>
      <c r="BI14" s="44" t="s">
        <v>415</v>
      </c>
      <c r="BJ14" s="1" t="b">
        <v>0</v>
      </c>
      <c r="BK14" s="14" t="s">
        <v>374</v>
      </c>
      <c r="BL14" s="39"/>
      <c r="BM14" s="15"/>
      <c r="BN14" s="39"/>
      <c r="BQ14" s="4">
        <v>8</v>
      </c>
      <c r="BR14" s="15" t="s">
        <v>380</v>
      </c>
      <c r="BS14" s="44" t="s">
        <v>441</v>
      </c>
      <c r="BT14" s="1" t="b">
        <v>0</v>
      </c>
      <c r="BU14" s="15"/>
      <c r="BV14" s="39"/>
      <c r="BW14" s="15" t="s">
        <v>375</v>
      </c>
      <c r="BX14" s="39"/>
      <c r="BY14" s="15"/>
      <c r="BZ14" s="4">
        <v>8</v>
      </c>
      <c r="CA14" s="15" t="s">
        <v>380</v>
      </c>
      <c r="CB14" s="44" t="s">
        <v>424</v>
      </c>
      <c r="CC14" s="1" t="b">
        <v>0</v>
      </c>
      <c r="CD14" s="15"/>
      <c r="CE14" s="39"/>
      <c r="CF14" s="15" t="s">
        <v>382</v>
      </c>
      <c r="CG14" s="39"/>
      <c r="CH14" s="15"/>
      <c r="CI14" s="4">
        <v>8</v>
      </c>
      <c r="CJ14" s="15" t="s">
        <v>377</v>
      </c>
      <c r="CK14" s="44" t="s">
        <v>442</v>
      </c>
      <c r="CL14" s="1" t="b">
        <v>0</v>
      </c>
      <c r="CM14" s="15"/>
      <c r="CN14" s="39"/>
      <c r="CO14" s="15" t="s">
        <v>373</v>
      </c>
      <c r="CP14" s="39"/>
      <c r="CQ14" s="15" t="b">
        <v>1</v>
      </c>
      <c r="CR14" s="4">
        <v>8</v>
      </c>
      <c r="CS14" s="15"/>
      <c r="CT14" s="44"/>
      <c r="CU14" s="1" t="b">
        <v>0</v>
      </c>
      <c r="CV14" s="15"/>
      <c r="CW14" s="39"/>
      <c r="CX14" s="15"/>
      <c r="CY14" s="39"/>
      <c r="CZ14" s="15"/>
      <c r="DA14" s="4">
        <v>8</v>
      </c>
      <c r="DB14" s="15"/>
      <c r="DC14" s="44"/>
      <c r="DD14" s="1" t="b">
        <v>0</v>
      </c>
      <c r="DE14" s="15"/>
      <c r="DF14" s="39"/>
      <c r="DG14" s="15"/>
      <c r="DH14" s="39"/>
      <c r="DI14" s="15"/>
      <c r="DP14" s="37"/>
      <c r="DQ14" s="49" t="str">
        <f ca="1">A2</f>
        <v>8_22 Clubhouse_1</v>
      </c>
      <c r="DR14" s="4">
        <v>8</v>
      </c>
      <c r="DS14" s="1" t="str">
        <v>Attack</v>
      </c>
      <c r="DT14" s="1" t="str">
        <f t="shared" si="2"/>
        <v>Candle</v>
      </c>
      <c r="DU14" s="1" t="str">
        <v>Iana</v>
      </c>
      <c r="DV14" s="21" cm="1">
        <f t="array" ref="DV14">ConvertToRoundTime(secandmin(AC14),secandmin(CJ32),AD14)</f>
        <v>87</v>
      </c>
      <c r="DW14" s="1" t="str">
        <v>Lakqi</v>
      </c>
      <c r="DX14" s="1" t="b" cm="1">
        <f t="array" ref="DX14">DeathRefragged(DV14,MAX(ES14,ES30,ES46,ES62,ES78,FA95),MAX(EZ14,EZ30,EZ46,EZ62,EZ78,FI95),MAX(FG14,FG30,FG46,FG62,FG78,FP95),MAX(FN14,FN30,FN46,FN62,FN78,FW95),MAX(FU14,FU30,FU46,FU62,FU78,GD95),$Q$2)</f>
        <v>0</v>
      </c>
      <c r="DY14" s="1" t="b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1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1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Hiperzz</v>
      </c>
      <c r="FG14" s="1">
        <v>70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b" cm="1">
        <f t="array" ref="GF14">IF($V$2=TRUE,IF(CH32="Attack",ConvertToRoundTime(secandmin(BC32),secandmin(CJ32),BD32),""),"NO DATA")</f>
        <v>0</v>
      </c>
      <c r="GG14" s="1" t="b" cm="1">
        <f t="array" ref="GG14">IF($V$2=TRUE,IF(CH32="Attack",ConvertToRoundTime(secandmin(BE32),secandmin(CJ32),BF32),"")," NO DATA")</f>
        <v>0</v>
      </c>
    </row>
    <row r="15" spans="1:189" x14ac:dyDescent="0.25">
      <c r="AB15" s="5">
        <v>9</v>
      </c>
      <c r="AC15" s="43"/>
      <c r="AD15" s="1" t="b">
        <v>0</v>
      </c>
      <c r="AE15" s="14"/>
      <c r="AF15" s="38"/>
      <c r="AG15" s="14"/>
      <c r="AH15" s="38"/>
      <c r="AJ15" s="5">
        <v>9</v>
      </c>
      <c r="AK15" s="43" t="s">
        <v>362</v>
      </c>
      <c r="AL15" s="1" t="b">
        <v>0</v>
      </c>
      <c r="AM15" s="14" t="s">
        <v>374</v>
      </c>
      <c r="AN15" s="38"/>
      <c r="AO15" s="14"/>
      <c r="AP15" s="38"/>
      <c r="AR15" s="5">
        <v>9</v>
      </c>
      <c r="AS15" s="43" t="s">
        <v>402</v>
      </c>
      <c r="AT15" s="1" t="b">
        <v>0</v>
      </c>
      <c r="AU15" s="14" t="s">
        <v>382</v>
      </c>
      <c r="AV15" s="38"/>
      <c r="AW15" s="14"/>
      <c r="AX15" s="38"/>
      <c r="AZ15" s="5">
        <v>9</v>
      </c>
      <c r="BA15" s="43" t="s">
        <v>408</v>
      </c>
      <c r="BB15" s="1" t="b">
        <v>0</v>
      </c>
      <c r="BC15" s="14" t="s">
        <v>376</v>
      </c>
      <c r="BD15" s="38"/>
      <c r="BE15" s="14"/>
      <c r="BF15" s="38"/>
      <c r="BH15" s="5">
        <v>9</v>
      </c>
      <c r="BI15" s="43" t="s">
        <v>416</v>
      </c>
      <c r="BJ15" s="1" t="b">
        <v>0</v>
      </c>
      <c r="BK15" s="14" t="s">
        <v>376</v>
      </c>
      <c r="BL15" s="38"/>
      <c r="BM15" s="14"/>
      <c r="BN15" s="38"/>
      <c r="BQ15" s="5">
        <v>9</v>
      </c>
      <c r="BR15" s="14" t="s">
        <v>378</v>
      </c>
      <c r="BS15" s="43" t="s">
        <v>443</v>
      </c>
      <c r="BT15" s="1" t="b">
        <v>0</v>
      </c>
      <c r="BU15" s="14"/>
      <c r="BV15" s="38"/>
      <c r="BW15" s="14" t="s">
        <v>373</v>
      </c>
      <c r="BX15" s="38"/>
      <c r="BY15" s="14"/>
      <c r="BZ15" s="5">
        <v>9</v>
      </c>
      <c r="CA15" s="14" t="s">
        <v>381</v>
      </c>
      <c r="CB15" s="43" t="s">
        <v>386</v>
      </c>
      <c r="CC15" s="1" t="b">
        <v>0</v>
      </c>
      <c r="CD15" s="14"/>
      <c r="CE15" s="38"/>
      <c r="CF15" s="14" t="s">
        <v>374</v>
      </c>
      <c r="CG15" s="38"/>
      <c r="CH15" s="14" t="b">
        <v>1</v>
      </c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9" t="str">
        <f ca="1">A2</f>
        <v>8_22 Clubhouse_1</v>
      </c>
      <c r="DR15" s="5">
        <v>9</v>
      </c>
      <c r="DS15" s="1" t="str">
        <v>Attack</v>
      </c>
      <c r="DT15" s="1" t="str">
        <f t="shared" si="2"/>
        <v>Candle</v>
      </c>
      <c r="DU15" s="1" t="str">
        <v>Iana</v>
      </c>
      <c r="DV15" s="21" t="b" cm="1">
        <f t="array" ref="DV15">ConvertToRoundTime(secandmin(AC15),secandmin(CJ33),AD15)</f>
        <v>0</v>
      </c>
      <c r="DW15" s="1" t="b">
        <v>0</v>
      </c>
      <c r="DX15" s="1" t="str" cm="1">
        <f t="array" ref="DX15">DeathRefragged(DV15,MAX(ES15,ES31,ES47,ES63,ES79,FA96),MAX(EZ15,EZ31,EZ47,EZ63,EZ79,FI96),MAX(FG15,FG31,FG47,FG63,FG79,FP96),MAX(FN15,FN31,FN47,FN63,FN79,FW96),MAX(FU15,FU31,FU47,FU63,FU79,GD96),$Q$2)</f>
        <v>N/A</v>
      </c>
      <c r="DY15" s="1" t="str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N/A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1</v>
      </c>
      <c r="EN15" s="1" t="b" cm="1">
        <f t="array" ref="EN15">OneVX(DV31,DV47,DV63,DV79,DV15)</f>
        <v>1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b" cm="1">
        <f t="array" ref="GF15">IF($V$2=TRUE,IF(CH33="Attack",ConvertToRoundTime(secandmin(BC33),secandmin(CJ33),BD33),""),"NO DATA")</f>
        <v>0</v>
      </c>
      <c r="GG15" s="1" t="b" cm="1">
        <f t="array" ref="GG15">IF($V$2=TRUE,IF(CH33="Attack",ConvertToRoundTime(secandmin(BE33),secandmin(CJ33),BF33),"")," NO DATA")</f>
        <v>0</v>
      </c>
    </row>
    <row r="16" spans="1:189" x14ac:dyDescent="0.25">
      <c r="AB16" s="4">
        <v>10</v>
      </c>
      <c r="AC16" s="44" t="s">
        <v>390</v>
      </c>
      <c r="AD16" s="1" t="b">
        <v>0</v>
      </c>
      <c r="AE16" s="14" t="s">
        <v>375</v>
      </c>
      <c r="AF16" s="39"/>
      <c r="AG16" s="15"/>
      <c r="AH16" s="39"/>
      <c r="AJ16" s="4">
        <v>10</v>
      </c>
      <c r="AK16" s="44" t="s">
        <v>396</v>
      </c>
      <c r="AL16" s="1" t="b">
        <v>0</v>
      </c>
      <c r="AM16" s="14" t="s">
        <v>373</v>
      </c>
      <c r="AN16" s="39"/>
      <c r="AO16" s="15"/>
      <c r="AP16" s="39"/>
      <c r="AR16" s="4">
        <v>10</v>
      </c>
      <c r="AS16" s="44" t="s">
        <v>403</v>
      </c>
      <c r="AT16" s="1" t="b">
        <v>0</v>
      </c>
      <c r="AU16" s="14" t="s">
        <v>375</v>
      </c>
      <c r="AV16" s="39"/>
      <c r="AW16" s="15"/>
      <c r="AX16" s="39"/>
      <c r="AZ16" s="4">
        <v>10</v>
      </c>
      <c r="BA16" s="44" t="s">
        <v>409</v>
      </c>
      <c r="BB16" s="1" t="b">
        <v>0</v>
      </c>
      <c r="BC16" s="14" t="s">
        <v>376</v>
      </c>
      <c r="BD16" s="39"/>
      <c r="BE16" s="15"/>
      <c r="BF16" s="39"/>
      <c r="BH16" s="4">
        <v>10</v>
      </c>
      <c r="BI16" s="44" t="s">
        <v>417</v>
      </c>
      <c r="BJ16" s="1" t="b">
        <v>0</v>
      </c>
      <c r="BK16" s="14" t="s">
        <v>375</v>
      </c>
      <c r="BL16" s="39"/>
      <c r="BM16" s="15"/>
      <c r="BN16" s="39"/>
      <c r="BQ16" s="4">
        <v>10</v>
      </c>
      <c r="BR16" s="15" t="s">
        <v>380</v>
      </c>
      <c r="BS16" s="44" t="s">
        <v>444</v>
      </c>
      <c r="BT16" s="1" t="b">
        <v>0</v>
      </c>
      <c r="BU16" s="15"/>
      <c r="BV16" s="39"/>
      <c r="BW16" s="15" t="s">
        <v>374</v>
      </c>
      <c r="BX16" s="39"/>
      <c r="BY16" s="15" t="b">
        <v>1</v>
      </c>
      <c r="BZ16" s="4">
        <v>10</v>
      </c>
      <c r="CA16" s="15" t="s">
        <v>380</v>
      </c>
      <c r="CB16" s="44" t="s">
        <v>445</v>
      </c>
      <c r="CC16" s="1" t="b">
        <v>0</v>
      </c>
      <c r="CD16" s="15"/>
      <c r="CE16" s="39"/>
      <c r="CF16" s="15" t="s">
        <v>373</v>
      </c>
      <c r="CG16" s="39"/>
      <c r="CH16" s="15"/>
      <c r="CI16" s="4">
        <v>10</v>
      </c>
      <c r="CJ16" s="15" t="s">
        <v>379</v>
      </c>
      <c r="CK16" s="44" t="s">
        <v>446</v>
      </c>
      <c r="CL16" s="1" t="b">
        <v>0</v>
      </c>
      <c r="CM16" s="15"/>
      <c r="CN16" s="39"/>
      <c r="CO16" s="15" t="s">
        <v>376</v>
      </c>
      <c r="CP16" s="39"/>
      <c r="CQ16" s="15" t="b">
        <v>1</v>
      </c>
      <c r="CR16" s="4">
        <v>10</v>
      </c>
      <c r="CS16" s="15"/>
      <c r="CT16" s="44"/>
      <c r="CU16" s="1" t="b">
        <v>0</v>
      </c>
      <c r="CV16" s="15"/>
      <c r="CW16" s="39"/>
      <c r="CX16" s="15"/>
      <c r="CY16" s="39"/>
      <c r="CZ16" s="15"/>
      <c r="DA16" s="4">
        <v>10</v>
      </c>
      <c r="DB16" s="15"/>
      <c r="DC16" s="44"/>
      <c r="DD16" s="1" t="b">
        <v>0</v>
      </c>
      <c r="DE16" s="15"/>
      <c r="DF16" s="39"/>
      <c r="DG16" s="15"/>
      <c r="DH16" s="39"/>
      <c r="DI16" s="15"/>
      <c r="DP16" s="37"/>
      <c r="DQ16" s="49" t="str">
        <f ca="1">A2</f>
        <v>8_22 Clubhouse_1</v>
      </c>
      <c r="DR16" s="4">
        <v>10</v>
      </c>
      <c r="DS16" s="1" t="str">
        <v>Attack</v>
      </c>
      <c r="DT16" s="1" t="str">
        <f t="shared" si="2"/>
        <v>Candle</v>
      </c>
      <c r="DU16" s="1" t="str">
        <v>Iana</v>
      </c>
      <c r="DV16" s="21" cm="1">
        <f t="array" ref="DV16">ConvertToRoundTime(secandmin(AC16),secandmin(CJ34),AD16)</f>
        <v>76</v>
      </c>
      <c r="DW16" s="1" t="str">
        <v>Rye</v>
      </c>
      <c r="DX16" s="1" t="b" cm="1">
        <f t="array" ref="DX16">DeathRefragged(DV16,MAX(ES16,ES32,ES48,ES64,ES80,FA97),MAX(EZ16,EZ32,EZ48,EZ64,EZ80,FI97),MAX(FG16,FG32,FG48,FG64,FG80,FP97),MAX(FN16,FN32,FN48,FN64,FN80,FW97),MAX(FU16,FU32,FU48,FU64,FU80,GD97),$Q$2)</f>
        <v>0</v>
      </c>
      <c r="DY16" s="1" t="b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0</v>
      </c>
      <c r="EF16" s="1">
        <f t="shared" si="4"/>
        <v>0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0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NOLOC</v>
      </c>
      <c r="EX16" s="1" t="b">
        <v>0</v>
      </c>
      <c r="EY16" s="1" t="b">
        <v>0</v>
      </c>
      <c r="EZ16" s="1" t="b">
        <v>0</v>
      </c>
      <c r="FA16" s="1" t="b">
        <v>0</v>
      </c>
      <c r="FB16" s="1" t="b">
        <v>0</v>
      </c>
      <c r="FC16" s="1" t="str" cm="1">
        <f t="array" ref="FC16">DeathTraded(EZ16,$O$2,DV16,$O$2,DV32,$O$3,DV48,$O$4,DV64,$O$5,DV80,$O$6,$R$2)</f>
        <v>N/A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b" cm="1">
        <f t="array" ref="GF16">IF($V$2=TRUE,IF(CH34="Attack",ConvertToRoundTime(secandmin(BC34),secandmin(CJ34),BD34),""),"NO DATA")</f>
        <v>0</v>
      </c>
      <c r="GG16" s="1" t="b" cm="1">
        <f t="array" ref="GG16">IF($V$2=TRUE,IF(CH34="Attack",ConvertToRoundTime(secandmin(BE34),secandmin(CJ34),BF34),"")," NO DATA")</f>
        <v>0</v>
      </c>
    </row>
    <row r="17" spans="27:189" x14ac:dyDescent="0.25">
      <c r="AB17" s="5">
        <v>11</v>
      </c>
      <c r="AC17" s="43"/>
      <c r="AD17" s="1" t="b">
        <v>0</v>
      </c>
      <c r="AE17" s="14"/>
      <c r="AF17" s="38"/>
      <c r="AG17" s="14"/>
      <c r="AH17" s="38"/>
      <c r="AJ17" s="5">
        <v>11</v>
      </c>
      <c r="AK17" s="43" t="s">
        <v>397</v>
      </c>
      <c r="AL17" s="1" t="b">
        <v>0</v>
      </c>
      <c r="AM17" s="14" t="s">
        <v>376</v>
      </c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410</v>
      </c>
      <c r="BB17" s="1" t="b">
        <v>0</v>
      </c>
      <c r="BC17" s="14" t="s">
        <v>374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377</v>
      </c>
      <c r="BS17" s="43" t="s">
        <v>447</v>
      </c>
      <c r="BT17" s="1" t="b">
        <v>0</v>
      </c>
      <c r="BU17" s="14"/>
      <c r="BV17" s="38" t="b">
        <v>1</v>
      </c>
      <c r="BW17" s="14" t="s">
        <v>374</v>
      </c>
      <c r="BX17" s="38"/>
      <c r="BY17" s="14"/>
      <c r="BZ17" s="5">
        <v>11</v>
      </c>
      <c r="CA17" s="14" t="s">
        <v>377</v>
      </c>
      <c r="CB17" s="43" t="s">
        <v>365</v>
      </c>
      <c r="CC17" s="1" t="b">
        <v>0</v>
      </c>
      <c r="CD17" s="14"/>
      <c r="CE17" s="38"/>
      <c r="CF17" s="14" t="s">
        <v>376</v>
      </c>
      <c r="CG17" s="38"/>
      <c r="CH17" s="14"/>
      <c r="CI17" s="5">
        <v>11</v>
      </c>
      <c r="CJ17" s="14" t="s">
        <v>377</v>
      </c>
      <c r="CK17" s="43" t="s">
        <v>424</v>
      </c>
      <c r="CL17" s="1" t="b">
        <v>0</v>
      </c>
      <c r="CM17" s="14"/>
      <c r="CN17" s="38"/>
      <c r="CO17" s="14" t="s">
        <v>373</v>
      </c>
      <c r="CP17" s="38"/>
      <c r="CQ17" s="14"/>
      <c r="CR17" s="5">
        <v>11</v>
      </c>
      <c r="CS17" s="14" t="s">
        <v>377</v>
      </c>
      <c r="CT17" s="43" t="s">
        <v>418</v>
      </c>
      <c r="CU17" s="1" t="b">
        <v>0</v>
      </c>
      <c r="CV17" s="14"/>
      <c r="CW17" s="38"/>
      <c r="CX17" s="14" t="s">
        <v>375</v>
      </c>
      <c r="CY17" s="38"/>
      <c r="CZ17" s="14" t="b">
        <v>1</v>
      </c>
      <c r="DA17" s="5">
        <v>11</v>
      </c>
      <c r="DB17" s="14" t="s">
        <v>381</v>
      </c>
      <c r="DC17" s="43" t="s">
        <v>448</v>
      </c>
      <c r="DD17" s="1" t="b">
        <v>0</v>
      </c>
      <c r="DE17" s="14"/>
      <c r="DF17" s="38"/>
      <c r="DG17" s="14" t="s">
        <v>382</v>
      </c>
      <c r="DH17" s="38"/>
      <c r="DI17" s="14"/>
      <c r="DP17" s="37"/>
      <c r="DQ17" s="49" t="str">
        <f ca="1">A2</f>
        <v>8_22 Clubhouse_1</v>
      </c>
      <c r="DR17" s="5">
        <v>11</v>
      </c>
      <c r="DS17" s="1" t="str">
        <v>Attack</v>
      </c>
      <c r="DT17" s="1" t="str">
        <f t="shared" si="2"/>
        <v>Candle</v>
      </c>
      <c r="DU17" s="1" t="str">
        <v>Iana</v>
      </c>
      <c r="DV17" s="21" t="b" cm="1">
        <f t="array" ref="DV17">ConvertToRoundTime(secandmin(AC17),secandmin(CJ35),AD17)</f>
        <v>0</v>
      </c>
      <c r="DW17" s="1" t="b">
        <v>0</v>
      </c>
      <c r="DX17" s="1" t="str" cm="1">
        <f t="array" ref="DX17">DeathRefragged(DV17,MAX(ES17,ES33,ES49,ES65,ES81,FA98),MAX(EZ17,EZ33,EZ49,EZ65,EZ81,FI98),MAX(FG17,FG33,FG49,FG65,FG81,FP98),MAX(FN17,FN33,FN49,FN65,FN81,FW98),MAX(FU17,FU33,FU49,FU65,FU81,GD98),$Q$2)</f>
        <v>N/A</v>
      </c>
      <c r="DY17" s="1" t="str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0</v>
      </c>
      <c r="EC17" s="1" t="b" cm="1">
        <f t="array" ref="EC17">EntryDeath(DV17,DV33,DV49,DV65,DV81)</f>
        <v>0</v>
      </c>
      <c r="ED17" s="5">
        <v>11</v>
      </c>
      <c r="EE17" s="1">
        <f t="shared" si="3"/>
        <v>4</v>
      </c>
      <c r="EF17" s="1">
        <f t="shared" si="4"/>
        <v>1</v>
      </c>
      <c r="EG17" s="1">
        <f t="shared" si="5"/>
        <v>1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1</v>
      </c>
      <c r="ER17" s="1" t="str">
        <v>Lakqi</v>
      </c>
      <c r="ES17" s="1">
        <v>25</v>
      </c>
      <c r="ET17" s="1" t="b">
        <v>0</v>
      </c>
      <c r="EU17" s="1" t="b">
        <v>0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Saryz</v>
      </c>
      <c r="EZ17" s="1">
        <v>43</v>
      </c>
      <c r="FA17" s="1" t="b">
        <v>0</v>
      </c>
      <c r="FB17" s="1" t="b">
        <v>0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UNKNOWN</v>
      </c>
      <c r="FE17" s="1" t="b">
        <v>0</v>
      </c>
      <c r="FF17" s="1" t="str">
        <v>Hiperzz</v>
      </c>
      <c r="FG17" s="1">
        <v>45</v>
      </c>
      <c r="FH17" s="1" t="b">
        <v>0</v>
      </c>
      <c r="FI17" s="1" t="b">
        <v>0</v>
      </c>
      <c r="FJ17" s="1" t="b" cm="1">
        <f t="array" ref="FJ17">DeathTraded(FG17,$O$2,DV17,$O$2,DV33,$O$3,DV49,$O$4,DV65,$O$5,DV81,$O$6,$R$2)</f>
        <v>0</v>
      </c>
      <c r="FK17" s="1" t="str" cm="1">
        <f t="array" ref="FK17:FP17">DetermineKill(ConvertToRoundTime(secandmin(CT17),secandmin(CJ35),CU17),CS17,CW17,CX17,CV17,CZ17,CY17,$O$2)</f>
        <v>UNKNOWN</v>
      </c>
      <c r="FL17" s="1" t="b">
        <v>0</v>
      </c>
      <c r="FM17" s="1" t="str">
        <v>Rye</v>
      </c>
      <c r="FN17" s="1">
        <v>89</v>
      </c>
      <c r="FO17" s="1" t="b">
        <v>0</v>
      </c>
      <c r="FP17" s="1" t="b">
        <v>1</v>
      </c>
      <c r="FQ17" s="1" t="b" cm="1">
        <f t="array" ref="FQ17">DeathTraded(FN17,$O$2,DV17,$O$2,DV33,$O$3,DV49,$O$4,DV65,$O$5,DV81,$O$6,$R$2)</f>
        <v>0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b" cm="1">
        <f t="array" ref="GF17">IF($V$2=TRUE,IF(CH35="Attack",ConvertToRoundTime(secandmin(BC35),secandmin(CJ35),BD35),""),"NO DATA")</f>
        <v>0</v>
      </c>
      <c r="GG17" s="1" t="b" cm="1">
        <f t="array" ref="GG17">IF($V$2=TRUE,IF(CH35="Attack",ConvertToRoundTime(secandmin(BE35),secandmin(CJ35),BF35),"")," NO DATA")</f>
        <v>0</v>
      </c>
    </row>
    <row r="18" spans="27:189" x14ac:dyDescent="0.25">
      <c r="AB18" s="4">
        <v>12</v>
      </c>
      <c r="AC18" s="44" t="s">
        <v>391</v>
      </c>
      <c r="AD18" s="1" t="b">
        <v>0</v>
      </c>
      <c r="AE18" s="14" t="s">
        <v>375</v>
      </c>
      <c r="AF18" s="39"/>
      <c r="AG18" s="15"/>
      <c r="AH18" s="39"/>
      <c r="AJ18" s="4">
        <v>12</v>
      </c>
      <c r="AK18" s="44" t="s">
        <v>366</v>
      </c>
      <c r="AL18" s="1" t="b">
        <v>0</v>
      </c>
      <c r="AM18" s="14" t="s">
        <v>376</v>
      </c>
      <c r="AN18" s="39"/>
      <c r="AO18" s="15"/>
      <c r="AP18" s="39"/>
      <c r="AR18" s="4">
        <v>12</v>
      </c>
      <c r="AS18" s="44" t="s">
        <v>392</v>
      </c>
      <c r="AT18" s="1" t="b">
        <v>0</v>
      </c>
      <c r="AU18" s="14" t="s">
        <v>375</v>
      </c>
      <c r="AV18" s="39"/>
      <c r="AW18" s="15"/>
      <c r="AX18" s="39"/>
      <c r="AZ18" s="4">
        <v>12</v>
      </c>
      <c r="BA18" s="44" t="s">
        <v>411</v>
      </c>
      <c r="BB18" s="1" t="b">
        <v>0</v>
      </c>
      <c r="BC18" s="14" t="s">
        <v>382</v>
      </c>
      <c r="BD18" s="39"/>
      <c r="BE18" s="15"/>
      <c r="BF18" s="39"/>
      <c r="BH18" s="4">
        <v>12</v>
      </c>
      <c r="BI18" s="44" t="s">
        <v>367</v>
      </c>
      <c r="BJ18" s="1" t="b">
        <v>0</v>
      </c>
      <c r="BK18" s="14" t="s">
        <v>374</v>
      </c>
      <c r="BL18" s="39"/>
      <c r="BM18" s="15"/>
      <c r="BN18" s="39"/>
      <c r="BQ18" s="4">
        <v>12</v>
      </c>
      <c r="BR18" s="15" t="s">
        <v>378</v>
      </c>
      <c r="BS18" s="44" t="s">
        <v>363</v>
      </c>
      <c r="BT18" s="1" t="b">
        <v>0</v>
      </c>
      <c r="BU18" s="15"/>
      <c r="BV18" s="39"/>
      <c r="BW18" s="15" t="s">
        <v>373</v>
      </c>
      <c r="BX18" s="39"/>
      <c r="BY18" s="15" t="b">
        <v>1</v>
      </c>
      <c r="BZ18" s="4">
        <v>12</v>
      </c>
      <c r="CA18" s="15" t="s">
        <v>381</v>
      </c>
      <c r="CB18" s="44" t="s">
        <v>449</v>
      </c>
      <c r="CC18" s="1" t="b">
        <v>0</v>
      </c>
      <c r="CD18" s="15"/>
      <c r="CE18" s="39"/>
      <c r="CF18" s="15" t="s">
        <v>376</v>
      </c>
      <c r="CG18" s="39"/>
      <c r="CH18" s="15" t="b">
        <v>1</v>
      </c>
      <c r="CI18" s="4">
        <v>12</v>
      </c>
      <c r="CJ18" s="15" t="s">
        <v>380</v>
      </c>
      <c r="CK18" s="44" t="s">
        <v>416</v>
      </c>
      <c r="CL18" s="1" t="b">
        <v>0</v>
      </c>
      <c r="CM18" s="15"/>
      <c r="CN18" s="39"/>
      <c r="CO18" s="15" t="s">
        <v>374</v>
      </c>
      <c r="CP18" s="39"/>
      <c r="CQ18" s="15" t="b">
        <v>1</v>
      </c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9" t="str">
        <f ca="1">A2</f>
        <v>8_22 Clubhouse_1</v>
      </c>
      <c r="DR18" s="4">
        <v>12</v>
      </c>
      <c r="DS18" s="1" t="str">
        <v>Attack</v>
      </c>
      <c r="DT18" s="1" t="str">
        <f t="shared" si="2"/>
        <v>Candle</v>
      </c>
      <c r="DU18" s="1" t="str">
        <v>Iana</v>
      </c>
      <c r="DV18" s="21" cm="1">
        <f t="array" ref="DV18">ConvertToRoundTime(secandmin(AC18),secandmin(CJ36),AD18)</f>
        <v>160</v>
      </c>
      <c r="DW18" s="1" t="str">
        <v>Rye</v>
      </c>
      <c r="DX18" s="1" t="b" cm="1">
        <f t="array" ref="DX18">DeathRefragged(DV18,MAX(ES18,ES34,ES50,ES66,ES82,FA99),MAX(EZ18,EZ34,EZ50,EZ66,EZ82,FI99),MAX(FG18,FG34,FG50,FG66,FG82,FP99),MAX(FN18,FN34,FN50,FN66,FN82,FW99),MAX(FU18,FU34,FU50,FU66,FU82,GD99),$Q$2)</f>
        <v>0</v>
      </c>
      <c r="DY18" s="1" t="b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b" cm="1">
        <f t="array" ref="EM18">IF(NOT(ISBLANK(CP36)),KOST(EE18,DY18,DV18,EL18),"NOT PLAYED")</f>
        <v>0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b" cm="1">
        <f t="array" ref="GF18">IF($V$2=TRUE,IF(CH36="Attack",ConvertToRoundTime(secandmin(BC36),secandmin(CJ36),BD36),""),"NO DATA")</f>
        <v>0</v>
      </c>
      <c r="GG18" s="1" t="b" cm="1">
        <f t="array" ref="GG18">IF($V$2=TRUE,IF(CH36="Attack",ConvertToRoundTime(secandmin(BE36),secandmin(CJ36),BF36),"")," NO DATA")</f>
        <v>0</v>
      </c>
    </row>
    <row r="19" spans="27:189" x14ac:dyDescent="0.25">
      <c r="AB19" s="5">
        <v>13</v>
      </c>
      <c r="AC19" s="43" t="s">
        <v>392</v>
      </c>
      <c r="AD19" s="1" t="b">
        <v>0</v>
      </c>
      <c r="AE19" s="14" t="s">
        <v>374</v>
      </c>
      <c r="AF19" s="38"/>
      <c r="AG19" s="14" t="b">
        <v>1</v>
      </c>
      <c r="AH19" s="38"/>
      <c r="AJ19" s="5">
        <v>13</v>
      </c>
      <c r="AK19" s="43"/>
      <c r="AL19" s="1" t="b">
        <v>0</v>
      </c>
      <c r="AM19" s="14"/>
      <c r="AN19" s="38"/>
      <c r="AO19" s="14"/>
      <c r="AP19" s="38" t="b">
        <v>1</v>
      </c>
      <c r="AR19" s="5">
        <v>13</v>
      </c>
      <c r="AS19" s="43" t="s">
        <v>402</v>
      </c>
      <c r="AT19" s="1" t="b">
        <v>0</v>
      </c>
      <c r="AU19" s="14" t="s">
        <v>375</v>
      </c>
      <c r="AV19" s="38"/>
      <c r="AW19" s="14"/>
      <c r="AX19" s="38"/>
      <c r="AZ19" s="5">
        <v>13</v>
      </c>
      <c r="BA19" s="43" t="s">
        <v>412</v>
      </c>
      <c r="BB19" s="1" t="b">
        <v>0</v>
      </c>
      <c r="BC19" s="14" t="s">
        <v>373</v>
      </c>
      <c r="BD19" s="38"/>
      <c r="BE19" s="14"/>
      <c r="BF19" s="38"/>
      <c r="BH19" s="5">
        <v>13</v>
      </c>
      <c r="BI19" s="43" t="s">
        <v>418</v>
      </c>
      <c r="BJ19" s="1" t="b">
        <v>0</v>
      </c>
      <c r="BK19" s="14" t="s">
        <v>382</v>
      </c>
      <c r="BL19" s="38"/>
      <c r="BM19" s="14"/>
      <c r="BN19" s="38"/>
      <c r="BQ19" s="5">
        <v>13</v>
      </c>
      <c r="BR19" s="14" t="s">
        <v>378</v>
      </c>
      <c r="BS19" s="43" t="s">
        <v>450</v>
      </c>
      <c r="BT19" s="1" t="b">
        <v>0</v>
      </c>
      <c r="BU19" s="14"/>
      <c r="BV19" s="38"/>
      <c r="BW19" s="14" t="s">
        <v>373</v>
      </c>
      <c r="BX19" s="38"/>
      <c r="BY19" s="14" t="b">
        <v>1</v>
      </c>
      <c r="BZ19" s="5">
        <v>13</v>
      </c>
      <c r="CA19" s="14" t="s">
        <v>377</v>
      </c>
      <c r="CB19" s="43" t="s">
        <v>360</v>
      </c>
      <c r="CC19" s="1" t="b">
        <v>0</v>
      </c>
      <c r="CD19" s="14"/>
      <c r="CE19" s="38"/>
      <c r="CF19" s="14" t="s">
        <v>382</v>
      </c>
      <c r="CG19" s="38"/>
      <c r="CH19" s="14"/>
      <c r="CI19" s="5">
        <v>13</v>
      </c>
      <c r="CJ19" s="14" t="s">
        <v>379</v>
      </c>
      <c r="CK19" s="43" t="s">
        <v>451</v>
      </c>
      <c r="CL19" s="1" t="b">
        <v>0</v>
      </c>
      <c r="CM19" s="14"/>
      <c r="CN19" s="38"/>
      <c r="CO19" s="14" t="s">
        <v>374</v>
      </c>
      <c r="CP19" s="38"/>
      <c r="CQ19" s="14"/>
      <c r="CR19" s="5">
        <v>13</v>
      </c>
      <c r="CS19" s="14" t="s">
        <v>378</v>
      </c>
      <c r="CT19" s="43" t="s">
        <v>399</v>
      </c>
      <c r="CU19" s="1" t="b">
        <v>0</v>
      </c>
      <c r="CV19" s="14"/>
      <c r="CW19" s="38"/>
      <c r="CX19" s="14" t="s">
        <v>375</v>
      </c>
      <c r="CY19" s="38"/>
      <c r="CZ19" s="14" t="b">
        <v>1</v>
      </c>
      <c r="DA19" s="5">
        <v>13</v>
      </c>
      <c r="DB19" s="14" t="s">
        <v>378</v>
      </c>
      <c r="DC19" s="43" t="s">
        <v>392</v>
      </c>
      <c r="DD19" s="1" t="b">
        <v>0</v>
      </c>
      <c r="DE19" s="14"/>
      <c r="DF19" s="38"/>
      <c r="DG19" s="14" t="s">
        <v>376</v>
      </c>
      <c r="DH19" s="38"/>
      <c r="DI19" s="14"/>
      <c r="DP19" s="37"/>
      <c r="DQ19" s="49" t="str">
        <f ca="1">A2</f>
        <v>8_22 Clubhouse_1</v>
      </c>
      <c r="DR19" s="5">
        <v>13</v>
      </c>
      <c r="DS19" s="1" t="str">
        <v>Attack</v>
      </c>
      <c r="DT19" s="1" t="str">
        <f t="shared" si="2"/>
        <v>Candle</v>
      </c>
      <c r="DU19" s="1" t="str">
        <v>Iana</v>
      </c>
      <c r="DV19" s="21" cm="1">
        <f t="array" ref="DV19">ConvertToRoundTime(secandmin(AC19),secandmin(CJ37),AD19)</f>
        <v>146</v>
      </c>
      <c r="DW19" s="1" t="str">
        <v>Lakqi</v>
      </c>
      <c r="DX19" s="1" t="b" cm="1">
        <f t="array" ref="DX19">DeathRefragged(DV19,MAX(ES19,ES35,ES51,ES67,ES83,FA100),MAX(EZ19,EZ35,EZ51,EZ67,EZ83,FI100),MAX(FG19,FG35,FG51,FG67,FG83,FP100),MAX(FN19,FN35,FN51,FN67,FN83,FW100),MAX(FU19,FU35,FU51,FU67,FU83,GD100),$Q$2)</f>
        <v>0</v>
      </c>
      <c r="DY19" s="1" t="b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19" s="1" t="b">
        <v>1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1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b" cm="1">
        <f t="array" ref="EM19">IF(NOT(ISBLANK(CP37)),KOST(EE19,DY19,DV19,EL19),"NOT PLAYED")</f>
        <v>1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UNKNOWN</v>
      </c>
      <c r="EX19" s="1" t="b">
        <v>0</v>
      </c>
      <c r="EY19" s="1" t="str">
        <v>Hox</v>
      </c>
      <c r="EZ19" s="1">
        <v>90</v>
      </c>
      <c r="FA19" s="1" t="b">
        <v>0</v>
      </c>
      <c r="FB19" s="1" t="b">
        <v>0</v>
      </c>
      <c r="FC19" s="1" t="b" cm="1">
        <f t="array" ref="FC19">DeathTraded(EZ19,$O$2,DV19,$O$2,DV35,$O$3,DV51,$O$4,DV67,$O$5,DV83,$O$6,$R$2)</f>
        <v>0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b" cm="1">
        <f t="array" ref="GF19">IF($V$2=TRUE,IF(CH37="Attack",ConvertToRoundTime(secandmin(BC37),secandmin(CJ37),BD37),""),"NO DATA")</f>
        <v>0</v>
      </c>
      <c r="GG19" s="1" t="b" cm="1">
        <f t="array" ref="GG19">IF($V$2=TRUE,IF(CH37="Attack",ConvertToRoundTime(secandmin(BE37),secandmin(CJ37),BF37),"")," NO DATA")</f>
        <v>0</v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 t="s">
        <v>404</v>
      </c>
      <c r="AT20" s="1" t="b">
        <v>0</v>
      </c>
      <c r="AU20" s="14" t="s">
        <v>373</v>
      </c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 t="s">
        <v>419</v>
      </c>
      <c r="BJ20" s="1" t="b">
        <v>0</v>
      </c>
      <c r="BK20" s="14" t="s">
        <v>420</v>
      </c>
      <c r="BL20" s="39"/>
      <c r="BM20" s="15"/>
      <c r="BN20" s="39"/>
      <c r="BQ20" s="4">
        <v>14</v>
      </c>
      <c r="BR20" s="15" t="s">
        <v>379</v>
      </c>
      <c r="BS20" s="44" t="s">
        <v>443</v>
      </c>
      <c r="BT20" s="1" t="b">
        <v>0</v>
      </c>
      <c r="BU20" s="15"/>
      <c r="BV20" s="39"/>
      <c r="BW20" s="15" t="s">
        <v>374</v>
      </c>
      <c r="BX20" s="39"/>
      <c r="BY20" s="15" t="b">
        <v>1</v>
      </c>
      <c r="BZ20" s="4">
        <v>14</v>
      </c>
      <c r="CA20" s="15" t="s">
        <v>380</v>
      </c>
      <c r="CB20" s="44" t="s">
        <v>426</v>
      </c>
      <c r="CC20" s="1" t="b">
        <v>0</v>
      </c>
      <c r="CD20" s="15"/>
      <c r="CE20" s="39"/>
      <c r="CF20" s="15" t="s">
        <v>376</v>
      </c>
      <c r="CG20" s="39"/>
      <c r="CH20" s="15" t="b">
        <v>1</v>
      </c>
      <c r="CI20" s="4">
        <v>14</v>
      </c>
      <c r="CJ20" s="15" t="s">
        <v>378</v>
      </c>
      <c r="CK20" s="44" t="s">
        <v>446</v>
      </c>
      <c r="CL20" s="1" t="b">
        <v>0</v>
      </c>
      <c r="CM20" s="15"/>
      <c r="CN20" s="39"/>
      <c r="CO20" s="15" t="s">
        <v>373</v>
      </c>
      <c r="CP20" s="39"/>
      <c r="CQ20" s="15"/>
      <c r="CR20" s="4">
        <v>14</v>
      </c>
      <c r="CS20" s="15" t="s">
        <v>377</v>
      </c>
      <c r="CT20" s="44" t="s">
        <v>452</v>
      </c>
      <c r="CU20" s="1" t="b">
        <v>0</v>
      </c>
      <c r="CV20" s="15"/>
      <c r="CW20" s="39"/>
      <c r="CX20" s="15" t="s">
        <v>375</v>
      </c>
      <c r="CY20" s="39"/>
      <c r="CZ20" s="15" t="b">
        <v>1</v>
      </c>
      <c r="DA20" s="4">
        <v>14</v>
      </c>
      <c r="DB20" s="15" t="s">
        <v>377</v>
      </c>
      <c r="DC20" s="44" t="s">
        <v>453</v>
      </c>
      <c r="DD20" s="1" t="b">
        <v>0</v>
      </c>
      <c r="DE20" s="15"/>
      <c r="DF20" s="39"/>
      <c r="DG20" s="15" t="s">
        <v>382</v>
      </c>
      <c r="DH20" s="39"/>
      <c r="DI20" s="15" t="b">
        <v>1</v>
      </c>
      <c r="DP20" s="37"/>
      <c r="DQ20" s="49" t="str">
        <f ca="1">A2</f>
        <v>8_22 Clubhouse_1</v>
      </c>
      <c r="DR20" s="4">
        <v>14</v>
      </c>
      <c r="DS20" s="1" t="str">
        <v>Defense</v>
      </c>
      <c r="DT20" s="1" t="str">
        <f t="shared" si="2"/>
        <v>Candle</v>
      </c>
      <c r="DU20" s="1" t="str">
        <v>Oryx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2</v>
      </c>
      <c r="EF20" s="1">
        <f t="shared" si="4"/>
        <v>2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b" cm="1">
        <f t="array" ref="EM20">IF(NOT(ISBLANK(CP38)),KOST(EE20,DY20,DV20,EL20),"NOT PLAYED")</f>
        <v>1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UNKNOWN</v>
      </c>
      <c r="FL20" s="1" t="b">
        <v>0</v>
      </c>
      <c r="FM20" s="1" t="str">
        <v>Rye</v>
      </c>
      <c r="FN20" s="1">
        <v>134</v>
      </c>
      <c r="FO20" s="1" t="b">
        <v>0</v>
      </c>
      <c r="FP20" s="1" t="b">
        <v>1</v>
      </c>
      <c r="FQ20" s="1" t="b" cm="1">
        <f t="array" ref="FQ20">DeathTraded(FN20,$O$2,DV20,$O$2,DV36,$O$3,DV52,$O$4,DV68,$O$5,DV84,$O$6,$R$2)</f>
        <v>0</v>
      </c>
      <c r="FR20" s="1" t="str" cm="1">
        <f t="array" ref="FR20:FW20">DetermineKill(ConvertToRoundTime(secandmin(DC20),secandmin(CJ38),DD20),DB20,DF20,DG20,DE20,DI20,DH20,$O$2)</f>
        <v>UNKNOWN</v>
      </c>
      <c r="FS20" s="1" t="b">
        <v>0</v>
      </c>
      <c r="FT20" s="1" t="str">
        <v>Hox</v>
      </c>
      <c r="FU20" s="1">
        <v>158</v>
      </c>
      <c r="FV20" s="1" t="b">
        <v>0</v>
      </c>
      <c r="FW20" s="1" t="b">
        <v>1</v>
      </c>
      <c r="FX20" s="1" t="b" cm="1">
        <f t="array" ref="FX20">DeathTraded(FU20,$O$2,DV20,$O$2,DV36,$O$3,DV52,$O$4,DV68,$O$5,DV84,$O$6,$R$2)</f>
        <v>0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9" t="str">
        <f ca="1">A2</f>
        <v>8_22 Clubhouse_1</v>
      </c>
      <c r="DR21" s="5">
        <v>15</v>
      </c>
      <c r="DS21" s="1" t="str">
        <v>Not Played</v>
      </c>
      <c r="DT21" s="1" t="str">
        <f t="shared" si="2"/>
        <v>Candle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Chos3n</v>
      </c>
      <c r="DQ22" s="49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51" t="s">
        <v>62</v>
      </c>
      <c r="DX22" s="51" t="s">
        <v>219</v>
      </c>
      <c r="DY22" s="51" t="s">
        <v>220</v>
      </c>
      <c r="DZ22" s="51" t="s">
        <v>221</v>
      </c>
      <c r="EA22" s="51" t="s">
        <v>245</v>
      </c>
      <c r="EB22" s="51" t="s">
        <v>257</v>
      </c>
      <c r="EC22" s="51" t="s">
        <v>258</v>
      </c>
      <c r="ED22" s="52" t="s">
        <v>457</v>
      </c>
      <c r="EE22" s="51" t="s">
        <v>9</v>
      </c>
      <c r="EF22" s="51" t="s">
        <v>222</v>
      </c>
      <c r="EG22" s="51" t="s">
        <v>223</v>
      </c>
      <c r="EH22" s="51" t="s">
        <v>246</v>
      </c>
      <c r="EI22" s="51" t="s">
        <v>259</v>
      </c>
      <c r="EJ22" s="51" t="s">
        <v>260</v>
      </c>
      <c r="EK22" s="52" t="s">
        <v>458</v>
      </c>
      <c r="EL22" s="21" t="s">
        <v>324</v>
      </c>
      <c r="EM22" s="51" t="s">
        <v>33</v>
      </c>
      <c r="EN22" s="51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475</v>
      </c>
      <c r="EY22" s="21" t="s">
        <v>313</v>
      </c>
      <c r="EZ22" s="21" t="s">
        <v>314</v>
      </c>
      <c r="FA22" s="21" t="s">
        <v>474</v>
      </c>
      <c r="FB22" s="21" t="s">
        <v>473</v>
      </c>
      <c r="FC22" s="21" t="s">
        <v>472</v>
      </c>
      <c r="FD22" s="13" t="s">
        <v>63</v>
      </c>
      <c r="FE22" s="13" t="s">
        <v>471</v>
      </c>
      <c r="FF22" s="13" t="s">
        <v>315</v>
      </c>
      <c r="FG22" s="13" t="s">
        <v>316</v>
      </c>
      <c r="FH22" s="13" t="s">
        <v>470</v>
      </c>
      <c r="FI22" s="13" t="s">
        <v>469</v>
      </c>
      <c r="FJ22" s="13" t="s">
        <v>468</v>
      </c>
      <c r="FK22" s="21" t="s">
        <v>64</v>
      </c>
      <c r="FL22" s="21" t="s">
        <v>467</v>
      </c>
      <c r="FM22" s="21" t="s">
        <v>317</v>
      </c>
      <c r="FN22" s="21" t="s">
        <v>318</v>
      </c>
      <c r="FO22" s="21" t="s">
        <v>466</v>
      </c>
      <c r="FP22" s="21" t="s">
        <v>465</v>
      </c>
      <c r="FQ22" s="21" t="s">
        <v>464</v>
      </c>
      <c r="FR22" s="13" t="s">
        <v>65</v>
      </c>
      <c r="FS22" s="13" t="s">
        <v>463</v>
      </c>
      <c r="FT22" s="13" t="s">
        <v>319</v>
      </c>
      <c r="FU22" s="13" t="s">
        <v>320</v>
      </c>
      <c r="FV22" s="13" t="s">
        <v>461</v>
      </c>
      <c r="FW22" s="13" t="s">
        <v>460</v>
      </c>
      <c r="FX22" s="13" t="s">
        <v>462</v>
      </c>
      <c r="FY22" s="16" t="s">
        <v>459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Candle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9" t="str">
        <f ca="1">A2</f>
        <v>8_22 Clubhouse_1</v>
      </c>
      <c r="DR23" s="5">
        <v>1</v>
      </c>
      <c r="DS23" s="1" t="str" cm="1">
        <f t="array" ref="DS23:DS37">IF($CH$25:$CH$39=0,"Not Played", $CH$25:$CH$39)</f>
        <v>Defense</v>
      </c>
      <c r="DT23" s="1" t="str">
        <f>$O$3</f>
        <v>Chos3n</v>
      </c>
      <c r="DU23" s="1" t="str" cm="1">
        <f t="array" ref="DU23:DU37">IF($CQ$25:$CQ39=0,"Not Played",$CQ$25:$CQ39)</f>
        <v>Jager</v>
      </c>
      <c r="DV23" s="21" t="b" cm="1">
        <f t="array" ref="DV23">ConvertToRoundTime(secandmin(AK7),secandmin(CJ25),AL7)</f>
        <v>0</v>
      </c>
      <c r="DW23" s="1" t="b" cm="1">
        <f t="array" ref="DW23:DW37">IF($AM$7:$AM$21=0,FALSE,$AM$7:$AM$21)</f>
        <v>0</v>
      </c>
      <c r="DX23" s="1" t="str" cm="1">
        <f t="array" ref="DX23">DeathRefragged(DV23,MAX(ES7,ES23,ES39,ES55,ES71,FA88),MAX(EZ7,EZ23,EZ39,EZ55,EZ71,FI88),MAX(FG7,FG23,FG39,FG55,FG71,FP88),MAX(FN7,FN23,FN39,FN55,FN71,FW88),MAX(FU7,FU23,FU39,FU55,FU71,GD88),$Q$2)</f>
        <v>N/A</v>
      </c>
      <c r="DY23" s="1" t="str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1</v>
      </c>
      <c r="EF23" s="1">
        <f>SUM(IF(EU23=TRUE,1,0),IF(FI23=TRUE,1,0),IF(FP23=TRUE,1,0),IF(FW23=TRUE,1,0),IF(FB23=TRUE,1,0))</f>
        <v>1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1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UNKNOWN</v>
      </c>
      <c r="FE23" s="1" t="b">
        <v>0</v>
      </c>
      <c r="FF23" s="1" t="str">
        <v>Saryz</v>
      </c>
      <c r="FG23" s="1">
        <v>168</v>
      </c>
      <c r="FH23" s="1" t="b">
        <v>0</v>
      </c>
      <c r="FI23" s="1" t="b">
        <v>1</v>
      </c>
      <c r="FJ23" s="1" t="b" cm="1">
        <f t="array" ref="FJ23">DeathTraded(FG23,$O$3,DV7,$O$2,DV23,$O$3,DV39,$O$4,DV55,$O$5,DV71,$O$6,$R$2)</f>
        <v>0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str" cm="1">
        <f t="array" ref="GF23">IF($V$2=TRUE,IF(CH25="Attack",ConvertToRoundTime(secandmin(BI25),secandmin(CJ25),BJ25),""),"NO DATA")</f>
        <v/>
      </c>
      <c r="GG23" s="1" t="str" cm="1">
        <f t="array" ref="GG23">IF($V$2=TRUE,IF(CH25="Attack",ConvertToRoundTime(secandmin(BK25),secandmin(CJ25),BL25),""),"NO DATA")</f>
        <v/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9" t="str">
        <f ca="1">A2</f>
        <v>8_22 Clubhouse_1</v>
      </c>
      <c r="DR24" s="4">
        <v>2</v>
      </c>
      <c r="DS24" s="1" t="str">
        <v>Defense</v>
      </c>
      <c r="DT24" s="1" t="str">
        <f t="shared" ref="DT24:DT37" si="14">$O$3</f>
        <v>Chos3n</v>
      </c>
      <c r="DU24" s="1" t="str">
        <v>Melusi</v>
      </c>
      <c r="DV24" s="21" cm="1">
        <f t="array" ref="DV24">ConvertToRoundTime(secandmin(AK8),secandmin(CJ26),AL8)</f>
        <v>75</v>
      </c>
      <c r="DW24" s="1" t="str">
        <v>Hox</v>
      </c>
      <c r="DX24" s="1" t="b" cm="1">
        <f t="array" ref="DX24">DeathRefragged(DV24,MAX(ES8,ES24,ES40,ES56,ES72,FA89),MAX(EZ8,EZ24,EZ40,EZ56,EZ72,FI89),MAX(FG8,FG24,FG40,FG56,FG72,FP89),MAX(FN8,FN24,FN40,FN56,FN72,FW89),MAX(FU8,FU24,FU40,FU56,FU72,GD89),$Q$2)</f>
        <v>0</v>
      </c>
      <c r="DY24" s="1" t="b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0</v>
      </c>
      <c r="EF24" s="1">
        <f t="shared" ref="EF24:EF37" si="15">SUM(IF(EU24=TRUE,1,0),IF(FI24=TRUE,1,0),IF(FP24=TRUE,1,0),IF(FW24=TRUE,1,0),IF(FB24=TRUE,1,0))</f>
        <v>0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0</v>
      </c>
      <c r="EM24" s="1" t="b" cm="1">
        <f t="array" ref="EM24">IF(NOT(ISBLANK(CP26)),KOST(EE24,DY24,DV24,EL24),"NOT PLAYED")</f>
        <v>0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NOLOC</v>
      </c>
      <c r="FS24" s="1" t="b">
        <v>0</v>
      </c>
      <c r="FT24" s="1" t="b">
        <v>0</v>
      </c>
      <c r="FU24" s="1" t="b">
        <v>0</v>
      </c>
      <c r="FV24" s="1" t="b">
        <v>0</v>
      </c>
      <c r="FW24" s="1" t="b">
        <v>0</v>
      </c>
      <c r="FX24" s="1" t="str" cm="1">
        <f t="array" ref="FX24">DeathTraded(FU24,$O$3,DV8,$O$2,DV24,$O$3,DV40,$O$4,DV56,$O$5,DV72,$O$6,$R$2)</f>
        <v>N/A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str" cm="1">
        <f t="array" ref="GF24">IF($V$2=TRUE,IF(CH26="Attack",ConvertToRoundTime(secandmin(BI26),secandmin(CJ26),BJ26),""),"NO DATA")</f>
        <v/>
      </c>
      <c r="GG24" s="1" t="str" cm="1">
        <f t="array" ref="GG24">IF($V$2=TRUE,IF(CH26="Attack",ConvertToRoundTime(secandmin(BQ26),secandmin(CJ26),BR26),""),"NO DATA")</f>
        <v/>
      </c>
    </row>
    <row r="25" spans="27:189" x14ac:dyDescent="0.25">
      <c r="AB25" s="5">
        <v>1</v>
      </c>
      <c r="AC25" s="14"/>
      <c r="AD25" s="38"/>
      <c r="AE25" s="14"/>
      <c r="AF25" s="38"/>
      <c r="AG25" s="14"/>
      <c r="AH25" s="38"/>
      <c r="AI25" s="14">
        <v>1</v>
      </c>
      <c r="AJ25" s="38">
        <v>4</v>
      </c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454</v>
      </c>
      <c r="CI25" s="38" t="s">
        <v>206</v>
      </c>
      <c r="CJ25" s="45"/>
      <c r="CK25" s="43" t="s">
        <v>423</v>
      </c>
      <c r="CL25" s="14"/>
      <c r="CM25" s="43" t="s">
        <v>370</v>
      </c>
      <c r="CP25" s="14" t="s">
        <v>127</v>
      </c>
      <c r="CQ25" s="38" t="s">
        <v>139</v>
      </c>
      <c r="CR25" s="14" t="s">
        <v>101</v>
      </c>
      <c r="CS25" s="38" t="s">
        <v>129</v>
      </c>
      <c r="CT25" s="14" t="s">
        <v>91</v>
      </c>
      <c r="DP25" s="37"/>
      <c r="DQ25" s="49" t="str">
        <f ca="1">A2</f>
        <v>8_22 Clubhouse_1</v>
      </c>
      <c r="DR25" s="5">
        <v>3</v>
      </c>
      <c r="DS25" s="1" t="str">
        <v>Defense</v>
      </c>
      <c r="DT25" s="1" t="str">
        <f t="shared" si="14"/>
        <v>Chos3n</v>
      </c>
      <c r="DU25" s="1" t="str">
        <v>Azami</v>
      </c>
      <c r="DV25" s="21" t="b" cm="1">
        <f t="array" ref="DV25">ConvertToRoundTime(secandmin(AK9),secandmin(CJ27),AL9)</f>
        <v>0</v>
      </c>
      <c r="DW25" s="1" t="b">
        <v>0</v>
      </c>
      <c r="DX25" s="1" t="str" cm="1">
        <f t="array" ref="DX25">DeathRefragged(DV25,MAX(ES9,ES25,ES41,ES57,ES73,FA90),MAX(EZ9,EZ25,EZ41,EZ57,EZ73,FI90),MAX(FG9,FG25,FG41,FG57,FG73,FP90),MAX(FN9,FN25,FN41,FN57,FN73,FW90),MAX(FU9,FU25,FU41,FU57,FU73,GD90),$Q$2)</f>
        <v>N/A</v>
      </c>
      <c r="DY25" s="1" t="str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0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0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0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NOLOC</v>
      </c>
      <c r="EQ25" s="1" t="b">
        <v>0</v>
      </c>
      <c r="ER25" s="1" t="b">
        <v>0</v>
      </c>
      <c r="ES25" s="1" t="b">
        <v>0</v>
      </c>
      <c r="ET25" s="1" t="b">
        <v>0</v>
      </c>
      <c r="EU25" s="1" t="b">
        <v>0</v>
      </c>
      <c r="EV25" s="1" t="str" cm="1">
        <f t="array" ref="EV25">DeathTraded(ES25,$O$3,DV9,$O$2,DV25,$O$3,DV41,$O$4,DV57,$O$5,DV73,$O$6,$R$2)</f>
        <v>N/A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str" cm="1">
        <f t="array" ref="GF25">IF($V$2=TRUE,IF(CH27="Attack",ConvertToRoundTime(secandmin(BI27),secandmin(CJ27),BJ27),""),"NO DATA")</f>
        <v/>
      </c>
      <c r="GG25" s="1" t="str" cm="1">
        <f t="array" ref="GG25">IF($V$2=TRUE,IF(CH27="Attack",ConvertToRoundTime(secandmin(BQ27),secandmin(CJ27),BR27),""),"NO DATA")</f>
        <v/>
      </c>
    </row>
    <row r="26" spans="27:189" x14ac:dyDescent="0.25">
      <c r="AB26" s="4">
        <v>2</v>
      </c>
      <c r="AC26" s="15"/>
      <c r="AD26" s="39"/>
      <c r="AE26" s="15"/>
      <c r="AF26" s="39"/>
      <c r="AG26" s="15"/>
      <c r="AH26" s="39"/>
      <c r="AI26" s="15">
        <v>0</v>
      </c>
      <c r="AJ26" s="39">
        <v>5</v>
      </c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454</v>
      </c>
      <c r="CI26" s="39" t="s">
        <v>207</v>
      </c>
      <c r="CJ26" s="46" t="s">
        <v>455</v>
      </c>
      <c r="CK26" s="44" t="s">
        <v>413</v>
      </c>
      <c r="CL26" s="15"/>
      <c r="CM26" s="44" t="s">
        <v>369</v>
      </c>
      <c r="CP26" s="15" t="s">
        <v>95</v>
      </c>
      <c r="CQ26" s="39" t="s">
        <v>91</v>
      </c>
      <c r="CR26" s="15" t="s">
        <v>115</v>
      </c>
      <c r="CS26" s="39" t="s">
        <v>109</v>
      </c>
      <c r="CT26" s="15" t="s">
        <v>93</v>
      </c>
      <c r="DP26" s="37"/>
      <c r="DQ26" s="49" t="str">
        <f ca="1">A2</f>
        <v>8_22 Clubhouse_1</v>
      </c>
      <c r="DR26" s="4">
        <v>4</v>
      </c>
      <c r="DS26" s="1" t="str">
        <v>Defense</v>
      </c>
      <c r="DT26" s="1" t="str">
        <f t="shared" si="14"/>
        <v>Chos3n</v>
      </c>
      <c r="DU26" s="1" t="str">
        <v>Jager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1</v>
      </c>
      <c r="EF26" s="1">
        <f t="shared" si="15"/>
        <v>1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UNKNOWN</v>
      </c>
      <c r="FL26" s="1" t="b">
        <v>0</v>
      </c>
      <c r="FM26" s="1" t="str">
        <v>Rye</v>
      </c>
      <c r="FN26" s="1">
        <v>180</v>
      </c>
      <c r="FO26" s="1" t="b">
        <v>0</v>
      </c>
      <c r="FP26" s="1" t="b">
        <v>1</v>
      </c>
      <c r="FQ26" s="1" t="b" cm="1">
        <f t="array" ref="FQ26">DeathTraded(FN26,$O$3,DV10,$O$2,DV26,$O$3,DV42,$O$4,DV58,$O$5,DV74,$O$6,$R$2)</f>
        <v>0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str" cm="1">
        <f t="array" ref="GF26">IF($V$2=TRUE,IF(CH28="Attack",ConvertToRoundTime(secandmin(BI28),secandmin(CJ28),BJ28),""),"NO DATA")</f>
        <v/>
      </c>
      <c r="GG26" s="1" t="str" cm="1">
        <f t="array" ref="GG26">IF($V$2=TRUE,IF(CH28="Attack",ConvertToRoundTime(secandmin(BQ28),secandmin(CJ28),BR28),""),"NO DATA")</f>
        <v/>
      </c>
    </row>
    <row r="27" spans="27:189" x14ac:dyDescent="0.25">
      <c r="AB27" s="5">
        <v>3</v>
      </c>
      <c r="AC27" s="14"/>
      <c r="AD27" s="38"/>
      <c r="AE27" s="14"/>
      <c r="AF27" s="38"/>
      <c r="AG27" s="14"/>
      <c r="AH27" s="38"/>
      <c r="AI27" s="14">
        <v>3</v>
      </c>
      <c r="AJ27" s="38">
        <v>5</v>
      </c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454</v>
      </c>
      <c r="CI27" s="38" t="s">
        <v>209</v>
      </c>
      <c r="CJ27" s="45"/>
      <c r="CK27" s="43" t="s">
        <v>364</v>
      </c>
      <c r="CL27" s="14"/>
      <c r="CM27" s="43" t="s">
        <v>370</v>
      </c>
      <c r="CP27" s="14" t="s">
        <v>93</v>
      </c>
      <c r="CQ27" s="38" t="s">
        <v>83</v>
      </c>
      <c r="CR27" s="14" t="s">
        <v>91</v>
      </c>
      <c r="CS27" s="38" t="s">
        <v>127</v>
      </c>
      <c r="CT27" s="14" t="s">
        <v>133</v>
      </c>
      <c r="DP27" s="37"/>
      <c r="DQ27" s="49" t="str">
        <f ca="1">A2</f>
        <v>8_22 Clubhouse_1</v>
      </c>
      <c r="DR27" s="5">
        <v>5</v>
      </c>
      <c r="DS27" s="1" t="str">
        <v>Defense</v>
      </c>
      <c r="DT27" s="1" t="str">
        <f t="shared" si="14"/>
        <v>Chos3n</v>
      </c>
      <c r="DU27" s="1" t="str">
        <v>Maestro</v>
      </c>
      <c r="DV27" s="21" cm="1">
        <f t="array" ref="DV27">ConvertToRoundTime(secandmin(AK11),secandmin(CJ29),AL11)</f>
        <v>40</v>
      </c>
      <c r="DW27" s="1" t="str">
        <v>Saryz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1</v>
      </c>
      <c r="EC27" s="1" t="b" cm="1">
        <f t="array" ref="EC27">EntryDeath(DV27,DV11,DV43,DV59,DV75)</f>
        <v>1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1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str" cm="1">
        <f t="array" ref="GF27">IF($V$2=TRUE,IF(CH29="Attack",ConvertToRoundTime(secandmin(BI29),secandmin(CJ29),BJ29),""),"NO DATA")</f>
        <v/>
      </c>
      <c r="GG27" s="1" t="str" cm="1">
        <f t="array" ref="GG27">IF($V$2=TRUE,IF(CH29="Attack",ConvertToRoundTime(secandmin(BQ29),secandmin(CJ29),BR29),""),"NO DATA")</f>
        <v/>
      </c>
    </row>
    <row r="28" spans="27:189" x14ac:dyDescent="0.25">
      <c r="AB28" s="4">
        <v>4</v>
      </c>
      <c r="AC28" s="15"/>
      <c r="AD28" s="39"/>
      <c r="AE28" s="15"/>
      <c r="AF28" s="39"/>
      <c r="AG28" s="15"/>
      <c r="AH28" s="39"/>
      <c r="AI28" s="15">
        <v>2</v>
      </c>
      <c r="AJ28" s="39">
        <v>5</v>
      </c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454</v>
      </c>
      <c r="CI28" s="39" t="s">
        <v>206</v>
      </c>
      <c r="CJ28" s="46"/>
      <c r="CK28" s="44" t="s">
        <v>429</v>
      </c>
      <c r="CL28" s="15"/>
      <c r="CM28" s="44" t="s">
        <v>370</v>
      </c>
      <c r="CP28" s="15" t="s">
        <v>127</v>
      </c>
      <c r="CQ28" s="39" t="s">
        <v>139</v>
      </c>
      <c r="CR28" s="15" t="s">
        <v>115</v>
      </c>
      <c r="CS28" s="39" t="s">
        <v>129</v>
      </c>
      <c r="CT28" s="15" t="s">
        <v>91</v>
      </c>
      <c r="DP28" s="37"/>
      <c r="DQ28" s="49" t="str">
        <f ca="1">A2</f>
        <v>8_22 Clubhouse_1</v>
      </c>
      <c r="DR28" s="4">
        <v>6</v>
      </c>
      <c r="DS28" s="1" t="str">
        <v>Defense</v>
      </c>
      <c r="DT28" s="1" t="str">
        <f t="shared" si="14"/>
        <v>Chos3n</v>
      </c>
      <c r="DU28" s="1" t="str">
        <v>Thunderbird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4</v>
      </c>
      <c r="EF28" s="1">
        <f t="shared" si="15"/>
        <v>2</v>
      </c>
      <c r="EG28" s="1">
        <f t="shared" si="16"/>
        <v>1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0</v>
      </c>
      <c r="EJ28" s="1" t="b">
        <f t="shared" si="17"/>
        <v>0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0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NOLOC</v>
      </c>
      <c r="EQ28" s="1" t="b">
        <v>0</v>
      </c>
      <c r="ER28" s="1" t="b">
        <v>0</v>
      </c>
      <c r="ES28" s="1" t="b">
        <v>0</v>
      </c>
      <c r="ET28" s="1" t="b">
        <v>0</v>
      </c>
      <c r="EU28" s="1" t="b">
        <v>0</v>
      </c>
      <c r="EV28" s="1" t="str" cm="1">
        <f t="array" ref="EV28">DeathTraded(ES28,$O$3,DV12,$O$2,DV28,$O$3,DV44,$O$4,DV60,$O$5,DV76,$O$6,$R$2)</f>
        <v>N/A</v>
      </c>
      <c r="EW28" s="1" t="str" cm="1">
        <f t="array" ref="EW28:FB28">DetermineKill(ConvertToRoundTime(secandmin(CB12),secandmin(CJ30),CC12),CA12,CE12,CF12,CD12,CH12,CG12,$O$3)</f>
        <v>UNKNOWN</v>
      </c>
      <c r="EX28" s="1" t="b">
        <v>0</v>
      </c>
      <c r="EY28" s="1" t="str">
        <v>Hiperzz</v>
      </c>
      <c r="EZ28" s="1">
        <v>51</v>
      </c>
      <c r="FA28" s="1" t="b">
        <v>0</v>
      </c>
      <c r="FB28" s="1" t="b">
        <v>1</v>
      </c>
      <c r="FC28" s="1" t="b" cm="1">
        <f t="array" ref="FC28">DeathTraded(EZ28,$O$3,DV12,$O$2,DV28,$O$3,DV44,$O$4,DV60,$O$5,DV76,$O$6,$R$2)</f>
        <v>0</v>
      </c>
      <c r="FD28" s="1" t="str" cm="1">
        <f t="array" ref="FD28:FI28">DetermineKill(ConvertToRoundTime(secandmin(CK12),secandmin(CJ30),CL12),CJ12,CN12,CO12,CM12,CQ12,CP12,$O$3)</f>
        <v>UNKNOWN</v>
      </c>
      <c r="FE28" s="1" t="b">
        <v>1</v>
      </c>
      <c r="FF28" s="1" t="str">
        <v>Hox</v>
      </c>
      <c r="FG28" s="1">
        <v>93</v>
      </c>
      <c r="FH28" s="1" t="b">
        <v>0</v>
      </c>
      <c r="FI28" s="1" t="b">
        <v>0</v>
      </c>
      <c r="FJ28" s="1" t="b" cm="1">
        <f t="array" ref="FJ28">DeathTraded(FG28,$O$3,DV12,$O$2,DV28,$O$3,DV44,$O$4,DV60,$O$5,DV76,$O$6,$R$2)</f>
        <v>0</v>
      </c>
      <c r="FK28" s="1" t="str" cm="1">
        <f t="array" ref="FK28:FP28">DetermineKill(ConvertToRoundTime(secandmin(CT12),secandmin(CJ30),CU12),CS12,CW12,CX12,CV12,CZ12,CY12,$O$3)</f>
        <v>UNKNOWN</v>
      </c>
      <c r="FL28" s="1" t="b">
        <v>0</v>
      </c>
      <c r="FM28" s="1" t="str">
        <v>Saryz</v>
      </c>
      <c r="FN28" s="1">
        <v>145</v>
      </c>
      <c r="FO28" s="1" t="b">
        <v>0</v>
      </c>
      <c r="FP28" s="1" t="b">
        <v>1</v>
      </c>
      <c r="FQ28" s="1" t="b" cm="1">
        <f t="array" ref="FQ28">DeathTraded(FN28,$O$3,DV12,$O$2,DV28,$O$3,DV44,$O$4,DV60,$O$5,DV76,$O$6,$R$2)</f>
        <v>0</v>
      </c>
      <c r="FR28" s="1" t="str" cm="1">
        <f t="array" ref="FR28:FW28">DetermineKill(ConvertToRoundTime(secandmin(DC12),secandmin(CJ30),DD12),DB12,DF12,DG12,DE12,DI12,DH12,$O$3)</f>
        <v>UNKNOWN</v>
      </c>
      <c r="FS28" s="1" t="b">
        <v>0</v>
      </c>
      <c r="FT28" s="1" t="str">
        <v>Rye</v>
      </c>
      <c r="FU28" s="1">
        <v>165</v>
      </c>
      <c r="FV28" s="1" t="b">
        <v>0</v>
      </c>
      <c r="FW28" s="1" t="b">
        <v>0</v>
      </c>
      <c r="FX28" s="1" t="b" cm="1">
        <f t="array" ref="FX28">DeathTraded(FU28,$O$3,DV12,$O$2,DV28,$O$3,DV44,$O$4,DV60,$O$5,DV76,$O$6,$R$2)</f>
        <v>0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str" cm="1">
        <f t="array" ref="GF28">IF($V$2=TRUE,IF(CH30="Attack",ConvertToRoundTime(secandmin(BI30),secandmin(CJ30),BJ30),""),"NO DATA")</f>
        <v/>
      </c>
      <c r="GG28" s="1" t="str" cm="1">
        <f t="array" ref="GG28">IF($V$2=TRUE,IF(CH30="Attack",ConvertToRoundTime(secandmin(BQ30),secandmin(CJ30),BR30),""),"NO DATA")</f>
        <v/>
      </c>
    </row>
    <row r="29" spans="27:189" x14ac:dyDescent="0.25">
      <c r="AB29" s="5">
        <v>5</v>
      </c>
      <c r="AC29" s="14"/>
      <c r="AD29" s="38"/>
      <c r="AE29" s="14"/>
      <c r="AF29" s="38"/>
      <c r="AG29" s="14"/>
      <c r="AH29" s="38"/>
      <c r="AI29" s="14">
        <v>0</v>
      </c>
      <c r="AJ29" s="38">
        <v>6</v>
      </c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454</v>
      </c>
      <c r="CI29" s="38" t="s">
        <v>207</v>
      </c>
      <c r="CJ29" s="45"/>
      <c r="CK29" s="43" t="s">
        <v>434</v>
      </c>
      <c r="CL29" s="14"/>
      <c r="CM29" s="43" t="s">
        <v>370</v>
      </c>
      <c r="CP29" s="14" t="s">
        <v>99</v>
      </c>
      <c r="CQ29" s="38" t="s">
        <v>107</v>
      </c>
      <c r="CR29" s="14" t="s">
        <v>115</v>
      </c>
      <c r="CS29" s="38" t="s">
        <v>95</v>
      </c>
      <c r="CT29" s="14" t="s">
        <v>93</v>
      </c>
      <c r="DP29" s="37"/>
      <c r="DQ29" s="49" t="str">
        <f ca="1">A2</f>
        <v>8_22 Clubhouse_1</v>
      </c>
      <c r="DR29" s="5">
        <v>7</v>
      </c>
      <c r="DS29" s="1" t="str">
        <v>Attack</v>
      </c>
      <c r="DT29" s="1" t="str">
        <f t="shared" si="14"/>
        <v>Chos3n</v>
      </c>
      <c r="DU29" s="1" t="str">
        <v>Flores</v>
      </c>
      <c r="DV29" s="21" cm="1">
        <f t="array" ref="DV29">ConvertToRoundTime(secandmin(AK13),secandmin(CJ31),AL13)</f>
        <v>171</v>
      </c>
      <c r="DW29" s="1" t="str">
        <v>Hox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1</v>
      </c>
      <c r="EF29" s="1">
        <f t="shared" si="15"/>
        <v>1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Lakqi</v>
      </c>
      <c r="EZ29" s="1">
        <v>108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NOLOC</v>
      </c>
      <c r="FE29" s="1" t="b">
        <v>0</v>
      </c>
      <c r="FF29" s="1" t="b">
        <v>0</v>
      </c>
      <c r="FG29" s="1" t="b">
        <v>0</v>
      </c>
      <c r="FH29" s="1" t="b">
        <v>0</v>
      </c>
      <c r="FI29" s="1" t="b">
        <v>0</v>
      </c>
      <c r="FJ29" s="1" t="str" cm="1">
        <f t="array" ref="FJ29">DeathTraded(FG29,$O$3,DV13,$O$2,DV29,$O$3,DV45,$O$4,DV61,$O$5,DV77,$O$6,$R$2)</f>
        <v>N/A</v>
      </c>
      <c r="FK29" s="1" t="str" cm="1">
        <f t="array" ref="FK29:FP29">DetermineKill(ConvertToRoundTime(secandmin(CT13),secandmin(CJ31),CU13),CS13,CW13,CX13,CV13,CZ13,CY13,$O$3)</f>
        <v>NOLOC</v>
      </c>
      <c r="FL29" s="1" t="b">
        <v>0</v>
      </c>
      <c r="FM29" s="1" t="b">
        <v>0</v>
      </c>
      <c r="FN29" s="1" t="b">
        <v>0</v>
      </c>
      <c r="FO29" s="1" t="b">
        <v>0</v>
      </c>
      <c r="FP29" s="1" t="b">
        <v>0</v>
      </c>
      <c r="FQ29" s="1" t="str" cm="1">
        <f t="array" ref="FQ29">DeathTraded(FN29,$O$3,DV13,$O$2,DV29,$O$3,DV45,$O$4,DV61,$O$5,DV77,$O$6,$R$2)</f>
        <v>N/A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b" cm="1">
        <f t="array" ref="GF29">IF($V$2=TRUE,IF(CH31="Attack",ConvertToRoundTime(secandmin(BI31),secandmin(CJ31),BJ31),""),"NO DATA")</f>
        <v>0</v>
      </c>
      <c r="GG29" s="1" t="b" cm="1">
        <f t="array" ref="GG29">IF($V$2=TRUE,IF(CH31="Attack",ConvertToRoundTime(secandmin(BQ31),secandmin(CJ31),BR31),""),"NO DATA")</f>
        <v>0</v>
      </c>
    </row>
    <row r="30" spans="27:189" x14ac:dyDescent="0.25">
      <c r="AB30" s="4">
        <v>6</v>
      </c>
      <c r="AC30" s="15"/>
      <c r="AD30" s="39"/>
      <c r="AE30" s="15"/>
      <c r="AF30" s="39"/>
      <c r="AG30" s="15"/>
      <c r="AH30" s="39"/>
      <c r="AI30" s="15">
        <v>2</v>
      </c>
      <c r="AJ30" s="39">
        <v>4</v>
      </c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454</v>
      </c>
      <c r="CI30" s="39" t="s">
        <v>209</v>
      </c>
      <c r="CJ30" s="46"/>
      <c r="CK30" s="44" t="s">
        <v>439</v>
      </c>
      <c r="CL30" s="15"/>
      <c r="CM30" s="44" t="s">
        <v>370</v>
      </c>
      <c r="CP30" s="15" t="s">
        <v>93</v>
      </c>
      <c r="CQ30" s="39" t="s">
        <v>87</v>
      </c>
      <c r="CR30" s="15" t="s">
        <v>91</v>
      </c>
      <c r="CS30" s="39" t="s">
        <v>127</v>
      </c>
      <c r="CT30" s="15" t="s">
        <v>133</v>
      </c>
      <c r="DP30" s="37"/>
      <c r="DQ30" s="49" t="str">
        <f ca="1">A2</f>
        <v>8_22 Clubhouse_1</v>
      </c>
      <c r="DR30" s="4">
        <v>8</v>
      </c>
      <c r="DS30" s="1" t="str">
        <v>Attack</v>
      </c>
      <c r="DT30" s="1" t="str">
        <f t="shared" si="14"/>
        <v>Chos3n</v>
      </c>
      <c r="DU30" s="1" t="str">
        <v>Flores</v>
      </c>
      <c r="DV30" s="21" cm="1">
        <f t="array" ref="DV30">ConvertToRoundTime(secandmin(AK14),secandmin(CJ32),AL14)</f>
        <v>62</v>
      </c>
      <c r="DW30" s="1" t="str">
        <v>Lakqi</v>
      </c>
      <c r="DX30" s="1" t="b" cm="1">
        <f t="array" ref="DX30">DeathRefragged(DV30,MAX(ES14,ES30,ES46,ES62,ES78,FA95),MAX(EZ14,EZ30,EZ46,EZ62,EZ78,FI95),MAX(FG14,FG30,FG46,FG62,FG78,FP95),MAX(FN14,FN30,FN46,FN62,FN78,FW95),MAX(FU14,FU30,FU46,FU62,FU78,GD95),$Q$2)</f>
        <v>0</v>
      </c>
      <c r="DY30" s="1" t="b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0</v>
      </c>
      <c r="EF30" s="1">
        <f t="shared" si="15"/>
        <v>0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0</v>
      </c>
      <c r="EJ30" s="1" t="b">
        <f t="shared" si="17"/>
        <v>0</v>
      </c>
      <c r="EK30" s="4">
        <v>8</v>
      </c>
      <c r="EL30" s="1" t="b">
        <v>0</v>
      </c>
      <c r="EM30" s="1" t="b" cm="1">
        <f t="array" ref="EM30">IF(NOT(ISBLANK(CP32)),KOST(EE30,DY30,DV30,EL30),"NOT PLAYED")</f>
        <v>0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NOLOC</v>
      </c>
      <c r="EQ30" s="1" t="b">
        <v>0</v>
      </c>
      <c r="ER30" s="1" t="b">
        <v>0</v>
      </c>
      <c r="ES30" s="1" t="b">
        <v>0</v>
      </c>
      <c r="ET30" s="1" t="b">
        <v>0</v>
      </c>
      <c r="EU30" s="1" t="b">
        <v>0</v>
      </c>
      <c r="EV30" s="1" t="str" cm="1">
        <f t="array" ref="EV30">DeathTraded(ES30,$O$3,DV14,$O$2,DV30,$O$3,DV46,$O$4,DV62,$O$5,DV78,$O$6,$R$2)</f>
        <v>N/A</v>
      </c>
      <c r="EW30" s="1" t="str" cm="1">
        <f t="array" ref="EW30:FB30">DetermineKill(ConvertToRoundTime(secandmin(CB14),secandmin(CJ32),CC14),CA14,CE14,CF14,CD14,CH14,CG14,$O$3)</f>
        <v>NOLOC</v>
      </c>
      <c r="EX30" s="1" t="b">
        <v>0</v>
      </c>
      <c r="EY30" s="1" t="b">
        <v>0</v>
      </c>
      <c r="EZ30" s="1" t="b">
        <v>0</v>
      </c>
      <c r="FA30" s="1" t="b">
        <v>0</v>
      </c>
      <c r="FB30" s="1" t="b">
        <v>0</v>
      </c>
      <c r="FC30" s="1" t="str" cm="1">
        <f t="array" ref="FC30">DeathTraded(EZ30,$O$3,DV14,$O$2,DV30,$O$3,DV46,$O$4,DV62,$O$5,DV78,$O$6,$R$2)</f>
        <v>N/A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NOLOC</v>
      </c>
      <c r="FL30" s="1" t="b">
        <v>0</v>
      </c>
      <c r="FM30" s="1" t="b">
        <v>0</v>
      </c>
      <c r="FN30" s="1" t="b">
        <v>0</v>
      </c>
      <c r="FO30" s="1" t="b">
        <v>0</v>
      </c>
      <c r="FP30" s="1" t="b">
        <v>0</v>
      </c>
      <c r="FQ30" s="1" t="str" cm="1">
        <f t="array" ref="FQ30">DeathTraded(FN30,$O$3,DV14,$O$2,DV30,$O$3,DV46,$O$4,DV62,$O$5,DV78,$O$6,$R$2)</f>
        <v>N/A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b" cm="1">
        <f t="array" ref="GF30">IF($V$2=TRUE,IF(CH32="Attack",ConvertToRoundTime(secandmin(BI32),secandmin(CJ32),BJ32),""),"NO DATA")</f>
        <v>0</v>
      </c>
      <c r="GG30" s="1" t="b" cm="1">
        <f t="array" ref="GG30">IF($V$2=TRUE,IF(CH32="Attack",ConvertToRoundTime(secandmin(BQ32),secandmin(CJ32),BR32),""),"NO DATA")</f>
        <v>0</v>
      </c>
    </row>
    <row r="31" spans="27:189" x14ac:dyDescent="0.25">
      <c r="AB31" s="5">
        <v>7</v>
      </c>
      <c r="AC31" s="14">
        <v>2</v>
      </c>
      <c r="AD31" s="38"/>
      <c r="AE31" s="14"/>
      <c r="AF31" s="38"/>
      <c r="AG31" s="14"/>
      <c r="AH31" s="38"/>
      <c r="AI31" s="14"/>
      <c r="AJ31" s="38"/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368</v>
      </c>
      <c r="CI31" s="38" t="s">
        <v>206</v>
      </c>
      <c r="CJ31" s="45"/>
      <c r="CK31" s="43" t="s">
        <v>401</v>
      </c>
      <c r="CL31" s="14"/>
      <c r="CM31" s="43" t="s">
        <v>369</v>
      </c>
      <c r="CP31" s="14" t="s">
        <v>92</v>
      </c>
      <c r="CQ31" s="38" t="s">
        <v>86</v>
      </c>
      <c r="CR31" s="14" t="s">
        <v>112</v>
      </c>
      <c r="CS31" s="38" t="s">
        <v>126</v>
      </c>
      <c r="CT31" s="14" t="s">
        <v>98</v>
      </c>
      <c r="DP31" s="37"/>
      <c r="DQ31" s="49" t="str">
        <f ca="1">A2</f>
        <v>8_22 Clubhouse_1</v>
      </c>
      <c r="DR31" s="5">
        <v>9</v>
      </c>
      <c r="DS31" s="1" t="str">
        <v>Attack</v>
      </c>
      <c r="DT31" s="1" t="str">
        <f t="shared" si="14"/>
        <v>Chos3n</v>
      </c>
      <c r="DU31" s="1" t="str">
        <v>Sledge</v>
      </c>
      <c r="DV31" s="21" cm="1">
        <f t="array" ref="DV31">ConvertToRoundTime(secandmin(AK15),secandmin(CJ33),AL15)</f>
        <v>120</v>
      </c>
      <c r="DW31" s="1" t="str">
        <v>Lakqi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1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1</v>
      </c>
      <c r="ED31" s="5">
        <v>9</v>
      </c>
      <c r="EE31" s="1">
        <f t="shared" si="12"/>
        <v>1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1</v>
      </c>
      <c r="EJ31" s="1" t="b">
        <f t="shared" si="17"/>
        <v>1</v>
      </c>
      <c r="EK31" s="5">
        <v>9</v>
      </c>
      <c r="EL31" s="1" t="b">
        <v>0</v>
      </c>
      <c r="EM31" s="1" t="b" cm="1">
        <f t="array" ref="EM31">IF(NOT(ISBLANK(CP33)),KOST(EE31,DY31,DV31,EL31),"NOT PLAYED")</f>
        <v>1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UNKNOWN</v>
      </c>
      <c r="EQ31" s="1" t="b">
        <v>0</v>
      </c>
      <c r="ER31" s="1" t="str">
        <v>Hiperzz</v>
      </c>
      <c r="ES31" s="1">
        <v>114</v>
      </c>
      <c r="ET31" s="1" t="b">
        <v>0</v>
      </c>
      <c r="EU31" s="1" t="b">
        <v>0</v>
      </c>
      <c r="EV31" s="1" t="b" cm="1">
        <f t="array" ref="EV31">DeathTraded(ES31,$O$3,DV15,$O$2,DV31,$O$3,DV47,$O$4,DV63,$O$5,DV79,$O$6,$R$2)</f>
        <v>1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b" cm="1">
        <f t="array" ref="GF31">IF($V$2=TRUE,IF(CH33="Attack",ConvertToRoundTime(secandmin(BI33),secandmin(CJ33),BJ33),""),"NO DATA")</f>
        <v>0</v>
      </c>
      <c r="GG31" s="1" t="b" cm="1">
        <f t="array" ref="GG31">IF($V$2=TRUE,IF(CH33="Attack",ConvertToRoundTime(secandmin(BQ33),secandmin(CJ33),BR33),""),"NO DATA")</f>
        <v>0</v>
      </c>
    </row>
    <row r="32" spans="27:189" x14ac:dyDescent="0.25">
      <c r="AB32" s="4">
        <v>8</v>
      </c>
      <c r="AC32" s="15">
        <v>1</v>
      </c>
      <c r="AD32" s="39"/>
      <c r="AE32" s="15"/>
      <c r="AF32" s="39"/>
      <c r="AG32" s="15"/>
      <c r="AH32" s="39"/>
      <c r="AI32" s="15"/>
      <c r="AJ32" s="39"/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368</v>
      </c>
      <c r="CI32" s="39" t="s">
        <v>207</v>
      </c>
      <c r="CJ32" s="46"/>
      <c r="CK32" s="44" t="s">
        <v>389</v>
      </c>
      <c r="CL32" s="15"/>
      <c r="CM32" s="44" t="s">
        <v>369</v>
      </c>
      <c r="CP32" s="15" t="s">
        <v>92</v>
      </c>
      <c r="CQ32" s="39" t="s">
        <v>86</v>
      </c>
      <c r="CR32" s="15" t="s">
        <v>90</v>
      </c>
      <c r="CS32" s="39" t="s">
        <v>126</v>
      </c>
      <c r="CT32" s="15" t="s">
        <v>106</v>
      </c>
      <c r="DP32" s="37"/>
      <c r="DQ32" s="49" t="str">
        <f ca="1">A2</f>
        <v>8_22 Clubhouse_1</v>
      </c>
      <c r="DR32" s="4">
        <v>10</v>
      </c>
      <c r="DS32" s="1" t="str">
        <v>Attack</v>
      </c>
      <c r="DT32" s="1" t="str">
        <f t="shared" si="14"/>
        <v>Chos3n</v>
      </c>
      <c r="DU32" s="1" t="str">
        <v>Zofia</v>
      </c>
      <c r="DV32" s="21" cm="1">
        <f t="array" ref="DV32">ConvertToRoundTime(secandmin(AK16),secandmin(CJ34),AL16)</f>
        <v>48</v>
      </c>
      <c r="DW32" s="1" t="str">
        <v>Hiperzz</v>
      </c>
      <c r="DX32" s="1" t="b" cm="1">
        <f t="array" ref="DX32">DeathRefragged(DV32,MAX(ES16,ES32,ES48,ES64,ES80,FA97),MAX(EZ16,EZ32,EZ48,EZ64,EZ80,FI97),MAX(FG16,FG32,FG48,FG64,FG80,FP97),MAX(FN16,FN32,FN48,FN64,FN80,FW97),MAX(FU16,FU32,FU48,FU64,FU80,GD97),$Q$2)</f>
        <v>0</v>
      </c>
      <c r="DY32" s="1" t="b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1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b" cm="1">
        <f t="array" ref="GF32">IF($V$2=TRUE,IF(CH34="Attack",ConvertToRoundTime(secandmin(BI34),secandmin(CJ34),BJ34),""),"NO DATA")</f>
        <v>0</v>
      </c>
      <c r="GG32" s="1" t="b" cm="1">
        <f t="array" ref="GG32">IF($V$2=TRUE,IF(CH34="Attack",ConvertToRoundTime(secandmin(BQ34),secandmin(CJ34),BR34),""),"NO DATA")</f>
        <v>0</v>
      </c>
    </row>
    <row r="33" spans="27:189" x14ac:dyDescent="0.25">
      <c r="AB33" s="5">
        <v>9</v>
      </c>
      <c r="AC33" s="14">
        <v>1</v>
      </c>
      <c r="AD33" s="38"/>
      <c r="AE33" s="14"/>
      <c r="AF33" s="38"/>
      <c r="AG33" s="14"/>
      <c r="AH33" s="38"/>
      <c r="AI33" s="14"/>
      <c r="AJ33" s="38"/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368</v>
      </c>
      <c r="CI33" s="38" t="s">
        <v>209</v>
      </c>
      <c r="CJ33" s="45"/>
      <c r="CK33" s="43" t="s">
        <v>429</v>
      </c>
      <c r="CL33" s="14"/>
      <c r="CM33" s="43" t="s">
        <v>369</v>
      </c>
      <c r="CP33" s="14" t="s">
        <v>92</v>
      </c>
      <c r="CQ33" s="38" t="s">
        <v>126</v>
      </c>
      <c r="CR33" s="14" t="s">
        <v>90</v>
      </c>
      <c r="CS33" s="38" t="s">
        <v>112</v>
      </c>
      <c r="CT33" s="14" t="s">
        <v>140</v>
      </c>
      <c r="DP33" s="37"/>
      <c r="DQ33" s="49" t="str">
        <f ca="1">A2</f>
        <v>8_22 Clubhouse_1</v>
      </c>
      <c r="DR33" s="5">
        <v>11</v>
      </c>
      <c r="DS33" s="1" t="str">
        <v>Attack</v>
      </c>
      <c r="DT33" s="1" t="str">
        <f t="shared" si="14"/>
        <v>Chos3n</v>
      </c>
      <c r="DU33" s="1" t="str">
        <v>Zofia</v>
      </c>
      <c r="DV33" s="21" cm="1">
        <f t="array" ref="DV33">ConvertToRoundTime(secandmin(AK17),secandmin(CJ35),AL17)</f>
        <v>34</v>
      </c>
      <c r="DW33" s="1" t="str">
        <v>Saryz</v>
      </c>
      <c r="DX33" s="1" t="b" cm="1">
        <f t="array" ref="DX33">DeathRefragged(DV33,MAX(ES17,ES33,ES49,ES65,ES81,FA98),MAX(EZ17,EZ33,EZ49,EZ65,EZ81,FI98),MAX(FG17,FG33,FG49,FG65,FG81,FP98),MAX(FN17,FN33,FN49,FN65,FN81,FW98),MAX(FU17,FU33,FU49,FU65,FU81,GD98),$Q$2)</f>
        <v>0</v>
      </c>
      <c r="DY33" s="1" t="b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0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NOLOC</v>
      </c>
      <c r="FS33" s="1" t="b">
        <v>0</v>
      </c>
      <c r="FT33" s="1" t="b">
        <v>0</v>
      </c>
      <c r="FU33" s="1" t="b">
        <v>0</v>
      </c>
      <c r="FV33" s="1" t="b">
        <v>0</v>
      </c>
      <c r="FW33" s="1" t="b">
        <v>0</v>
      </c>
      <c r="FX33" s="1" t="str" cm="1">
        <f t="array" ref="FX33">DeathTraded(FU33,$O$3,DV17,$O$2,DV33,$O$3,DV49,$O$4,DV65,$O$5,DV81,$O$6,$R$2)</f>
        <v>N/A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b" cm="1">
        <f t="array" ref="GF33">IF($V$2=TRUE,IF(CH35="Attack",ConvertToRoundTime(secandmin(BI35),secandmin(CJ35),BJ35),""),"NO DATA")</f>
        <v>0</v>
      </c>
      <c r="GG33" s="1" t="b" cm="1">
        <f t="array" ref="GG33">IF($V$2=TRUE,IF(CH35="Attack",ConvertToRoundTime(secandmin(BQ35),secandmin(CJ35),BR35),""),"NO DATA")</f>
        <v>0</v>
      </c>
    </row>
    <row r="34" spans="27:189" x14ac:dyDescent="0.25">
      <c r="AB34" s="4">
        <v>10</v>
      </c>
      <c r="AC34" s="15">
        <v>1</v>
      </c>
      <c r="AD34" s="39"/>
      <c r="AE34" s="15"/>
      <c r="AF34" s="39"/>
      <c r="AG34" s="15"/>
      <c r="AH34" s="39"/>
      <c r="AI34" s="15"/>
      <c r="AJ34" s="39"/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368</v>
      </c>
      <c r="CI34" s="39" t="s">
        <v>206</v>
      </c>
      <c r="CJ34" s="46"/>
      <c r="CK34" s="44" t="s">
        <v>451</v>
      </c>
      <c r="CL34" s="15"/>
      <c r="CM34" s="44" t="s">
        <v>369</v>
      </c>
      <c r="CP34" s="15" t="s">
        <v>92</v>
      </c>
      <c r="CQ34" s="39" t="s">
        <v>112</v>
      </c>
      <c r="CR34" s="15" t="s">
        <v>90</v>
      </c>
      <c r="CS34" s="39" t="s">
        <v>98</v>
      </c>
      <c r="CT34" s="15" t="s">
        <v>106</v>
      </c>
      <c r="DP34" s="37"/>
      <c r="DQ34" s="49" t="str">
        <f ca="1">A2</f>
        <v>8_22 Clubhouse_1</v>
      </c>
      <c r="DR34" s="4">
        <v>12</v>
      </c>
      <c r="DS34" s="1" t="str">
        <v>Attack</v>
      </c>
      <c r="DT34" s="1" t="str">
        <f t="shared" si="14"/>
        <v>Chos3n</v>
      </c>
      <c r="DU34" s="1" t="str">
        <v>Jackal</v>
      </c>
      <c r="DV34" s="21" cm="1">
        <f t="array" ref="DV34">ConvertToRoundTime(secandmin(AK18),secandmin(CJ36),AL18)</f>
        <v>136</v>
      </c>
      <c r="DW34" s="1" t="str">
        <v>Saryz</v>
      </c>
      <c r="DX34" s="1" t="b" cm="1">
        <f t="array" ref="DX34">DeathRefragged(DV34,MAX(ES18,ES34,ES50,ES66,ES82,FA99),MAX(EZ18,EZ34,EZ50,EZ66,EZ82,FI99),MAX(FG18,FG34,FG50,FG66,FG82,FP99),MAX(FN18,FN34,FN50,FN66,FN82,FW99),MAX(FU18,FU34,FU50,FU66,FU82,GD99),$Q$2)</f>
        <v>0</v>
      </c>
      <c r="DY34" s="1" t="b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1</v>
      </c>
      <c r="ED34" s="4">
        <v>12</v>
      </c>
      <c r="EE34" s="1">
        <f t="shared" si="12"/>
        <v>1</v>
      </c>
      <c r="EF34" s="1">
        <f t="shared" si="15"/>
        <v>1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1</v>
      </c>
      <c r="EJ34" s="1" t="b">
        <f t="shared" si="17"/>
        <v>1</v>
      </c>
      <c r="EK34" s="4">
        <v>12</v>
      </c>
      <c r="EL34" s="1" t="b">
        <v>0</v>
      </c>
      <c r="EM34" s="1" t="b" cm="1">
        <f t="array" ref="EM34">IF(NOT(ISBLANK(CP36)),KOST(EE34,DY34,DV34,EL34),"NOT PLAYED")</f>
        <v>1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UNKNOWN</v>
      </c>
      <c r="EQ34" s="1" t="b">
        <v>0</v>
      </c>
      <c r="ER34" s="1" t="str">
        <v>Hiperzz</v>
      </c>
      <c r="ES34" s="1">
        <v>124</v>
      </c>
      <c r="ET34" s="1" t="b">
        <v>0</v>
      </c>
      <c r="EU34" s="1" t="b">
        <v>1</v>
      </c>
      <c r="EV34" s="1" t="b" cm="1">
        <f t="array" ref="EV34">DeathTraded(ES34,$O$3,DV18,$O$2,DV34,$O$3,DV50,$O$4,DV66,$O$5,DV82,$O$6,$R$2)</f>
        <v>0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b" cm="1">
        <f t="array" ref="GF34">IF($V$2=TRUE,IF(CH36="Attack",ConvertToRoundTime(secandmin(BI36),secandmin(CJ36),BJ36),""),"NO DATA")</f>
        <v>0</v>
      </c>
      <c r="GG34" s="1" t="b" cm="1">
        <f t="array" ref="GG34">IF($V$2=TRUE,IF(CH36="Attack",ConvertToRoundTime(secandmin(BQ36),secandmin(CJ36),BR36),""),"NO DATA")</f>
        <v>0</v>
      </c>
    </row>
    <row r="35" spans="27:189" x14ac:dyDescent="0.25">
      <c r="AB35" s="5">
        <v>11</v>
      </c>
      <c r="AC35" s="14">
        <v>0</v>
      </c>
      <c r="AD35" s="38"/>
      <c r="AE35" s="14"/>
      <c r="AF35" s="38"/>
      <c r="AG35" s="14"/>
      <c r="AH35" s="38"/>
      <c r="AI35" s="14"/>
      <c r="AJ35" s="38"/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368</v>
      </c>
      <c r="CI35" s="38" t="s">
        <v>207</v>
      </c>
      <c r="CJ35" s="45"/>
      <c r="CK35" s="43" t="s">
        <v>448</v>
      </c>
      <c r="CL35" s="14"/>
      <c r="CM35" s="43" t="s">
        <v>370</v>
      </c>
      <c r="CP35" s="14" t="s">
        <v>92</v>
      </c>
      <c r="CQ35" s="38" t="s">
        <v>112</v>
      </c>
      <c r="CR35" s="14" t="s">
        <v>90</v>
      </c>
      <c r="CS35" s="38" t="s">
        <v>126</v>
      </c>
      <c r="CT35" s="14" t="s">
        <v>102</v>
      </c>
      <c r="DP35" s="37"/>
      <c r="DQ35" s="49" t="str">
        <f ca="1">A2</f>
        <v>8_22 Clubhouse_1</v>
      </c>
      <c r="DR35" s="5">
        <v>13</v>
      </c>
      <c r="DS35" s="1" t="str">
        <v>Attack</v>
      </c>
      <c r="DT35" s="1" t="str">
        <f t="shared" si="14"/>
        <v>Chos3n</v>
      </c>
      <c r="DU35" s="1" t="str">
        <v>Flores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3</v>
      </c>
      <c r="EF35" s="1">
        <f t="shared" si="15"/>
        <v>2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1</v>
      </c>
      <c r="EK35" s="5">
        <v>13</v>
      </c>
      <c r="EL35" s="1" t="b">
        <v>1</v>
      </c>
      <c r="EM35" s="1" t="b" cm="1">
        <f t="array" ref="EM35">IF(NOT(ISBLANK(CP37)),KOST(EE35,DY35,DV35,EL35),"NOT PLAYED")</f>
        <v>1</v>
      </c>
      <c r="EN35" s="1" t="b" cm="1">
        <f t="array" ref="EN35">OneVX(DV51,DV67,DV83,DV19,DV35)</f>
        <v>1</v>
      </c>
      <c r="EO35" s="1" t="b">
        <f t="shared" si="18"/>
        <v>1</v>
      </c>
      <c r="EP35" s="1" t="str" cm="1">
        <f t="array" ref="EP35:EU35">DetermineKill(ConvertToRoundTime(secandmin(BS19),secandmin(CJ37),BT19),BR19,BV19,BW19,BU19,BY19,BX19,$O$3)</f>
        <v>UNKNOWN</v>
      </c>
      <c r="EQ35" s="1" t="b">
        <v>0</v>
      </c>
      <c r="ER35" s="1" t="str">
        <v>Hiperzz</v>
      </c>
      <c r="ES35" s="1">
        <v>88</v>
      </c>
      <c r="ET35" s="1" t="b">
        <v>0</v>
      </c>
      <c r="EU35" s="1" t="b">
        <v>1</v>
      </c>
      <c r="EV35" s="1" t="b" cm="1">
        <f t="array" ref="EV35">DeathTraded(ES35,$O$3,DV19,$O$2,DV35,$O$3,DV51,$O$4,DV67,$O$5,DV83,$O$6,$R$2)</f>
        <v>0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UNKNOWN</v>
      </c>
      <c r="FL35" s="1" t="b">
        <v>0</v>
      </c>
      <c r="FM35" s="1" t="str">
        <v>Rye</v>
      </c>
      <c r="FN35" s="1">
        <v>137</v>
      </c>
      <c r="FO35" s="1" t="b">
        <v>0</v>
      </c>
      <c r="FP35" s="1" t="b">
        <v>1</v>
      </c>
      <c r="FQ35" s="1" t="b" cm="1">
        <f t="array" ref="FQ35">DeathTraded(FN35,$O$3,DV19,$O$2,DV35,$O$3,DV51,$O$4,DV67,$O$5,DV83,$O$6,$R$2)</f>
        <v>0</v>
      </c>
      <c r="FR35" s="1" t="str" cm="1">
        <f t="array" ref="FR35:FW35">DetermineKill(ConvertToRoundTime(secandmin(DC19),secandmin(CJ37),DD19),DB19,DF19,DG19,DE19,DI19,DH19,$O$3)</f>
        <v>UNKNOWN</v>
      </c>
      <c r="FS35" s="1" t="b">
        <v>0</v>
      </c>
      <c r="FT35" s="1" t="str">
        <v>Saryz</v>
      </c>
      <c r="FU35" s="1">
        <v>146</v>
      </c>
      <c r="FV35" s="1" t="b">
        <v>0</v>
      </c>
      <c r="FW35" s="1" t="b">
        <v>0</v>
      </c>
      <c r="FX35" s="1" t="b" cm="1">
        <f t="array" ref="FX35">DeathTraded(FU35,$O$3,DV19,$O$2,DV35,$O$3,DV51,$O$4,DV67,$O$5,DV83,$O$6,$R$2)</f>
        <v>0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b" cm="1">
        <f t="array" ref="GF35">IF($V$2=TRUE,IF(CH37="Attack",ConvertToRoundTime(secandmin(BI37),secandmin(CJ37),BJ37),""),"NO DATA")</f>
        <v>0</v>
      </c>
      <c r="GG35" s="1" t="b" cm="1">
        <f t="array" ref="GG35">IF($V$2=TRUE,IF(CH37="Attack",ConvertToRoundTime(secandmin(BQ37),secandmin(CJ37),BR37),""),"NO DATA")</f>
        <v>0</v>
      </c>
    </row>
    <row r="36" spans="27:189" x14ac:dyDescent="0.25">
      <c r="AB36" s="4">
        <v>12</v>
      </c>
      <c r="AC36" s="15">
        <v>0</v>
      </c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 t="s">
        <v>368</v>
      </c>
      <c r="CI36" s="39" t="s">
        <v>207</v>
      </c>
      <c r="CJ36" s="46"/>
      <c r="CK36" s="44" t="s">
        <v>411</v>
      </c>
      <c r="CL36" s="15"/>
      <c r="CM36" s="44" t="s">
        <v>369</v>
      </c>
      <c r="CP36" s="15" t="s">
        <v>92</v>
      </c>
      <c r="CQ36" s="39" t="s">
        <v>456</v>
      </c>
      <c r="CR36" s="15" t="s">
        <v>90</v>
      </c>
      <c r="CS36" s="39" t="s">
        <v>98</v>
      </c>
      <c r="CT36" s="15" t="s">
        <v>106</v>
      </c>
      <c r="DP36" s="37"/>
      <c r="DQ36" s="49" t="str">
        <f ca="1">A2</f>
        <v>8_22 Clubhouse_1</v>
      </c>
      <c r="DR36" s="4">
        <v>14</v>
      </c>
      <c r="DS36" s="1" t="str">
        <v>Defense</v>
      </c>
      <c r="DT36" s="1" t="str">
        <f t="shared" si="14"/>
        <v>Chos3n</v>
      </c>
      <c r="DU36" s="1" t="str">
        <v>Lesion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1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b" cm="1">
        <f t="array" ref="EM36">IF(NOT(ISBLANK(CP38)),KOST(EE36,DY36,DV36,EL36),"NOT PLAYED")</f>
        <v>1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UNKNOWN</v>
      </c>
      <c r="FE36" s="1" t="b">
        <v>0</v>
      </c>
      <c r="FF36" s="1" t="str">
        <v>Hiperzz</v>
      </c>
      <c r="FG36" s="1">
        <v>128</v>
      </c>
      <c r="FH36" s="1" t="b">
        <v>0</v>
      </c>
      <c r="FI36" s="1" t="b">
        <v>0</v>
      </c>
      <c r="FJ36" s="1" t="b" cm="1">
        <f t="array" ref="FJ36">DeathTraded(FG36,$O$3,DV20,$O$2,DV36,$O$3,DV52,$O$4,DV68,$O$5,DV84,$O$6,$R$2)</f>
        <v>0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>
        <v>1</v>
      </c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 t="s">
        <v>368</v>
      </c>
      <c r="CI37" s="38" t="s">
        <v>206</v>
      </c>
      <c r="CJ37" s="45" t="s">
        <v>423</v>
      </c>
      <c r="CK37" s="43" t="s">
        <v>392</v>
      </c>
      <c r="CL37" s="14"/>
      <c r="CM37" s="43" t="s">
        <v>370</v>
      </c>
      <c r="CP37" s="14" t="s">
        <v>92</v>
      </c>
      <c r="CQ37" s="38" t="s">
        <v>86</v>
      </c>
      <c r="CR37" s="14" t="s">
        <v>112</v>
      </c>
      <c r="CS37" s="38" t="s">
        <v>126</v>
      </c>
      <c r="CT37" s="14" t="s">
        <v>102</v>
      </c>
      <c r="DP37" s="37"/>
      <c r="DQ37" s="49" t="str">
        <f ca="1">A2</f>
        <v>8_22 Clubhouse_1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>
        <v>2</v>
      </c>
      <c r="AJ38" s="39">
        <v>7</v>
      </c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 t="s">
        <v>454</v>
      </c>
      <c r="CI38" s="39" t="s">
        <v>209</v>
      </c>
      <c r="CJ38" s="46"/>
      <c r="CK38" s="44" t="s">
        <v>453</v>
      </c>
      <c r="CL38" s="15"/>
      <c r="CM38" s="44" t="s">
        <v>370</v>
      </c>
      <c r="CP38" s="15" t="s">
        <v>93</v>
      </c>
      <c r="CQ38" s="39" t="s">
        <v>115</v>
      </c>
      <c r="CR38" s="15" t="s">
        <v>91</v>
      </c>
      <c r="CS38" s="39" t="s">
        <v>127</v>
      </c>
      <c r="CT38" s="15" t="s">
        <v>133</v>
      </c>
      <c r="DP38" s="36" t="str">
        <f>$O$4</f>
        <v>Ozone</v>
      </c>
      <c r="DQ38" s="49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51" t="s">
        <v>62</v>
      </c>
      <c r="DX38" s="51" t="s">
        <v>219</v>
      </c>
      <c r="DY38" s="51" t="s">
        <v>220</v>
      </c>
      <c r="DZ38" s="51" t="s">
        <v>221</v>
      </c>
      <c r="EA38" s="51" t="s">
        <v>245</v>
      </c>
      <c r="EB38" s="51" t="s">
        <v>257</v>
      </c>
      <c r="EC38" s="51" t="s">
        <v>258</v>
      </c>
      <c r="ED38" s="52" t="s">
        <v>457</v>
      </c>
      <c r="EE38" s="51" t="s">
        <v>9</v>
      </c>
      <c r="EF38" s="51" t="s">
        <v>222</v>
      </c>
      <c r="EG38" s="51" t="s">
        <v>223</v>
      </c>
      <c r="EH38" s="51" t="s">
        <v>246</v>
      </c>
      <c r="EI38" s="51" t="s">
        <v>259</v>
      </c>
      <c r="EJ38" s="51" t="s">
        <v>260</v>
      </c>
      <c r="EK38" s="52" t="s">
        <v>458</v>
      </c>
      <c r="EL38" s="21" t="s">
        <v>324</v>
      </c>
      <c r="EM38" s="51" t="s">
        <v>33</v>
      </c>
      <c r="EN38" s="51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475</v>
      </c>
      <c r="EY38" s="21" t="s">
        <v>313</v>
      </c>
      <c r="EZ38" s="21" t="s">
        <v>314</v>
      </c>
      <c r="FA38" s="21" t="s">
        <v>474</v>
      </c>
      <c r="FB38" s="21" t="s">
        <v>473</v>
      </c>
      <c r="FC38" s="21" t="s">
        <v>472</v>
      </c>
      <c r="FD38" s="13" t="s">
        <v>63</v>
      </c>
      <c r="FE38" s="13" t="s">
        <v>471</v>
      </c>
      <c r="FF38" s="13" t="s">
        <v>315</v>
      </c>
      <c r="FG38" s="13" t="s">
        <v>316</v>
      </c>
      <c r="FH38" s="13" t="s">
        <v>470</v>
      </c>
      <c r="FI38" s="13" t="s">
        <v>469</v>
      </c>
      <c r="FJ38" s="13" t="s">
        <v>468</v>
      </c>
      <c r="FK38" s="21" t="s">
        <v>64</v>
      </c>
      <c r="FL38" s="21" t="s">
        <v>467</v>
      </c>
      <c r="FM38" s="21" t="s">
        <v>317</v>
      </c>
      <c r="FN38" s="21" t="s">
        <v>318</v>
      </c>
      <c r="FO38" s="21" t="s">
        <v>466</v>
      </c>
      <c r="FP38" s="21" t="s">
        <v>465</v>
      </c>
      <c r="FQ38" s="21" t="s">
        <v>464</v>
      </c>
      <c r="FR38" s="13" t="s">
        <v>65</v>
      </c>
      <c r="FS38" s="13" t="s">
        <v>463</v>
      </c>
      <c r="FT38" s="13" t="s">
        <v>319</v>
      </c>
      <c r="FU38" s="13" t="s">
        <v>320</v>
      </c>
      <c r="FV38" s="13" t="s">
        <v>461</v>
      </c>
      <c r="FW38" s="13" t="s">
        <v>460</v>
      </c>
      <c r="FX38" s="13" t="s">
        <v>462</v>
      </c>
      <c r="FY38" s="16" t="s">
        <v>459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9" t="str">
        <f ca="1">A2</f>
        <v>8_22 Clubhouse_1</v>
      </c>
      <c r="DR39" s="5">
        <v>1</v>
      </c>
      <c r="DS39" s="1" t="str" cm="1">
        <f t="array" ref="DS39:DS53">IF($CH$25:$CH$39=0,"Not Played", $CH$25:$CH$39)</f>
        <v>Defense</v>
      </c>
      <c r="DT39" s="1" t="str">
        <f>$O$4</f>
        <v>Ozone</v>
      </c>
      <c r="DU39" s="1" t="str" cm="1">
        <f t="array" ref="DU39:DU53">IF($CR$25:$CR39=0,"Not Played",$CR$25:$CR39)</f>
        <v>Mozzie</v>
      </c>
      <c r="DV39" s="21" cm="1">
        <f t="array" ref="DV39">ConvertToRoundTime(secandmin(AS7),secandmin(CJ25),AT7)</f>
        <v>60</v>
      </c>
      <c r="DW39" s="1" t="str" cm="1">
        <f t="array" ref="DW39:DW53">IF($AU$7:$AU$21=0,FALSE,$AU$7:$AU$21)</f>
        <v>Hiperzz</v>
      </c>
      <c r="DX39" s="1" t="b" cm="1">
        <f t="array" ref="DX39">DeathRefragged(DV39,MAX(ES7,ES23,ES39,ES55,ES71,FA88),MAX(EZ7,EZ23,EZ39,EZ55,EZ71,FI88),MAX(FG7,FG23,FG39,FG55,FG71,FP88),MAX(FN7,FN23,FN39,FN55,FN71,FW88),MAX(FU7,FU23,FU39,FU55,FU71,GD88),$Q$2)</f>
        <v>0</v>
      </c>
      <c r="DY39" s="1" t="b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1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str" cm="1">
        <f t="array" ref="GF39">IF($V$2=TRUE,IF(CH25="Attack",ConvertToRoundTime(secandmin(BO25),secandmin(CJ25),BP25),""),"NO DATA")</f>
        <v/>
      </c>
      <c r="GG39" s="1" t="str" cm="1">
        <f t="array" ref="GG39">IF($V$2=TRUE,IF(CH25="Attack",ConvertToRoundTime(secandmin(BQ25),secandmin(CJ25),BR25),""),"NO DATA")</f>
        <v/>
      </c>
    </row>
    <row r="40" spans="27:189" x14ac:dyDescent="0.25">
      <c r="DP40" s="37"/>
      <c r="DQ40" s="49" t="str">
        <f ca="1">A2</f>
        <v>8_22 Clubhouse_1</v>
      </c>
      <c r="DR40" s="4">
        <v>2</v>
      </c>
      <c r="DS40" s="1" t="str">
        <v>Defense</v>
      </c>
      <c r="DT40" s="1" t="str">
        <f t="shared" ref="DT40:DT53" si="26">$O$4</f>
        <v>Ozone</v>
      </c>
      <c r="DU40" s="1" t="str">
        <v>Lesion</v>
      </c>
      <c r="DV40" s="21" cm="1">
        <f t="array" ref="DV40">ConvertToRoundTime(secandmin(AS8),secandmin(CJ26),AT8)</f>
        <v>137</v>
      </c>
      <c r="DW40" s="1" t="str">
        <v>Hiperzz</v>
      </c>
      <c r="DX40" s="1" t="b" cm="1">
        <f t="array" ref="DX40">DeathRefragged(DV40,MAX(ES8,ES24,ES40,ES56,ES72,FA89),MAX(EZ8,EZ24,EZ40,EZ56,EZ72,FI89),MAX(FG8,FG24,FG40,FG56,FG72,FP89),MAX(FN8,FN24,FN40,FN56,FN72,FW89),MAX(FU8,FU24,FU40,FU56,FU72,GD89),$Q$2)</f>
        <v>0</v>
      </c>
      <c r="DY40" s="1" t="b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0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str" cm="1">
        <f t="array" ref="GF40">IF($V$2=TRUE,IF(CH26="Attack",ConvertToRoundTime(secandmin(BO26),secandmin(CJ26),BP26),""),"NO DATA")</f>
        <v/>
      </c>
      <c r="GG40" s="1" t="str" cm="1">
        <f t="array" ref="GG40">IF($V$2=TRUE,IF(CH26="Attack",ConvertToRoundTime(secandmin(BQ26),secandmin(CJ26),BR26),""),"NO DATA")</f>
        <v/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9" t="str">
        <f ca="1">A2</f>
        <v>8_22 Clubhouse_1</v>
      </c>
      <c r="DR41" s="5">
        <v>3</v>
      </c>
      <c r="DS41" s="1" t="str">
        <v>Defense</v>
      </c>
      <c r="DT41" s="1" t="str">
        <f t="shared" si="26"/>
        <v>Ozone</v>
      </c>
      <c r="DU41" s="1" t="str">
        <v>Melusi</v>
      </c>
      <c r="DV41" s="21" t="b" cm="1">
        <f t="array" ref="DV41">ConvertToRoundTime(secandmin(AS9),secandmin(CJ27),AT9)</f>
        <v>0</v>
      </c>
      <c r="DW41" s="1" t="b">
        <v>0</v>
      </c>
      <c r="DX41" s="1" t="str" cm="1">
        <f t="array" ref="DX41">DeathRefragged(DV41,MAX(ES9,ES25,ES41,ES57,ES73,FA90),MAX(EZ9,EZ25,EZ41,EZ57,EZ73,FI90),MAX(FG9,FG25,FG41,FG57,FG73,FP90),MAX(FN9,FN25,FN41,FN57,FN73,FW90),MAX(FU9,FU25,FU41,FU57,FU73,GD90),$Q$2)</f>
        <v>N/A</v>
      </c>
      <c r="DY41" s="1" t="str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0</v>
      </c>
      <c r="EC41" s="1" t="b" cm="1">
        <f t="array" ref="EC41">EntryDeath(DV41,DV25,DV9,DV57,DV73)</f>
        <v>0</v>
      </c>
      <c r="ED41" s="5">
        <v>3</v>
      </c>
      <c r="EE41" s="1">
        <f t="shared" si="24"/>
        <v>1</v>
      </c>
      <c r="EF41" s="1">
        <f t="shared" si="27"/>
        <v>1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1</v>
      </c>
      <c r="EJ41" s="1" t="b">
        <f t="shared" si="29"/>
        <v>1</v>
      </c>
      <c r="EK41" s="5">
        <v>3</v>
      </c>
      <c r="EL41" s="1" t="b">
        <v>0</v>
      </c>
      <c r="EM41" s="1" t="b" cm="1">
        <f t="array" ref="EM41">IF(NOT(ISBLANK(CP27)),KOST(EE41,DY41,DV41,EL41),"NOT PLAYED")</f>
        <v>1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UNKNOWN</v>
      </c>
      <c r="EQ41" s="1" t="b">
        <v>0</v>
      </c>
      <c r="ER41" s="1" t="str">
        <v>Hiperzz</v>
      </c>
      <c r="ES41" s="1">
        <v>45</v>
      </c>
      <c r="ET41" s="1" t="b">
        <v>0</v>
      </c>
      <c r="EU41" s="1" t="b">
        <v>1</v>
      </c>
      <c r="EV41" s="1" t="b" cm="1">
        <f t="array" ref="EV41">DeathTraded(ES41,$O$4,DV9,$O$2,DV25,$O$3,DV41,$O$4,DV57,$O$5,DV73,$O$6,$R$2)</f>
        <v>0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str" cm="1">
        <f t="array" ref="GF41">IF($V$2=TRUE,IF(CH27="Attack",ConvertToRoundTime(secandmin(BO27),secandmin(CJ27),BP27),""),"NO DATA")</f>
        <v/>
      </c>
      <c r="GG41" s="1" t="str" cm="1">
        <f t="array" ref="GG41">IF($V$2=TRUE,IF(CH27="Attack",ConvertToRoundTime(secandmin(BQ27),secandmin(CJ27),BR27),""),"NO DATA")</f>
        <v/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9" t="str">
        <f ca="1">A2</f>
        <v>8_22 Clubhouse_1</v>
      </c>
      <c r="DR42" s="4">
        <v>4</v>
      </c>
      <c r="DS42" s="1" t="str">
        <v>Defense</v>
      </c>
      <c r="DT42" s="1" t="str">
        <f t="shared" si="26"/>
        <v>Ozone</v>
      </c>
      <c r="DU42" s="1" t="str">
        <v>Lesion</v>
      </c>
      <c r="DV42" s="21" cm="1">
        <f t="array" ref="DV42">ConvertToRoundTime(secandmin(AS10),secandmin(CJ28),AT10)</f>
        <v>60</v>
      </c>
      <c r="DW42" s="1" t="str">
        <v>Rye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1</v>
      </c>
      <c r="ED42" s="4">
        <v>4</v>
      </c>
      <c r="EE42" s="1">
        <f t="shared" si="24"/>
        <v>0</v>
      </c>
      <c r="EF42" s="1">
        <f t="shared" si="27"/>
        <v>0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0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NOLOC</v>
      </c>
      <c r="FS42" s="1" t="b">
        <v>0</v>
      </c>
      <c r="FT42" s="1" t="b">
        <v>0</v>
      </c>
      <c r="FU42" s="1" t="b">
        <v>0</v>
      </c>
      <c r="FV42" s="1" t="b">
        <v>0</v>
      </c>
      <c r="FW42" s="1" t="b">
        <v>0</v>
      </c>
      <c r="FX42" s="1" t="str" cm="1">
        <f t="array" ref="FX42">DeathTraded(FU42,$O$4,DV10,$O$2,DV26,$O$3,DV42,$O$4,DV58,$O$5,DV74,$O$6,$R$2)</f>
        <v>N/A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str" cm="1">
        <f t="array" ref="GF42">IF($V$2=TRUE,IF(CH28="Attack",ConvertToRoundTime(secandmin(BO28),secandmin(CJ28),BP28),""),"NO DATA")</f>
        <v/>
      </c>
      <c r="GG42" s="1" t="str" cm="1">
        <f t="array" ref="GG42">IF($V$2=TRUE,IF(CH28="Attack",ConvertToRoundTime(secandmin(BQ28),secandmin(CJ28),BR28),""),"NO DATA")</f>
        <v/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9" t="str">
        <f ca="1">A2</f>
        <v>8_22 Clubhouse_1</v>
      </c>
      <c r="DR43" s="5">
        <v>5</v>
      </c>
      <c r="DS43" s="1" t="str">
        <v>Defense</v>
      </c>
      <c r="DT43" s="1" t="str">
        <f t="shared" si="26"/>
        <v>Ozone</v>
      </c>
      <c r="DU43" s="1" t="str">
        <v>Lesion</v>
      </c>
      <c r="DV43" s="21" cm="1">
        <f t="array" ref="DV43">ConvertToRoundTime(secandmin(AS11),secandmin(CJ29),AT11)</f>
        <v>167</v>
      </c>
      <c r="DW43" s="1" t="str">
        <v>Lakqi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1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1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0</v>
      </c>
      <c r="EC43" s="1" t="b" cm="1">
        <f t="array" ref="EC43">EntryDeath(DV43,DV27,DV11,DV59,DV75)</f>
        <v>0</v>
      </c>
      <c r="ED43" s="5">
        <v>5</v>
      </c>
      <c r="EE43" s="1">
        <f t="shared" si="24"/>
        <v>1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1</v>
      </c>
      <c r="EK43" s="5">
        <v>5</v>
      </c>
      <c r="EL43" s="1" t="b">
        <v>0</v>
      </c>
      <c r="EM43" s="1" t="b" cm="1">
        <f t="array" ref="EM43">IF(NOT(ISBLANK(CP29)),KOST(EE43,DY43,DV43,EL43),"NOT PLAYED")</f>
        <v>1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UNKNOWN</v>
      </c>
      <c r="EQ43" s="1" t="b">
        <v>0</v>
      </c>
      <c r="ER43" s="1" t="str">
        <v>Hiperzz</v>
      </c>
      <c r="ES43" s="1">
        <v>58</v>
      </c>
      <c r="ET43" s="1" t="b">
        <v>0</v>
      </c>
      <c r="EU43" s="1" t="b">
        <v>0</v>
      </c>
      <c r="EV43" s="1" t="b" cm="1">
        <f t="array" ref="EV43">DeathTraded(ES43,$O$4,DV11,$O$2,DV27,$O$3,DV43,$O$4,DV59,$O$5,DV75,$O$6,$R$2)</f>
        <v>0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str" cm="1">
        <f t="array" ref="GF43">IF($V$2=TRUE,IF(CH29="Attack",ConvertToRoundTime(secandmin(BO29),secandmin(CJ29),BP29),""),"NO DATA")</f>
        <v/>
      </c>
      <c r="GG43" s="1" t="str" cm="1">
        <f t="array" ref="GG43">IF($V$2=TRUE,IF(CH29="Attack",ConvertToRoundTime(secandmin(BQ29),secandmin(CJ29),BR29),""),"NO DATA")</f>
        <v/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9" t="str">
        <f ca="1">A2</f>
        <v>8_22 Clubhouse_1</v>
      </c>
      <c r="DR44" s="4">
        <v>6</v>
      </c>
      <c r="DS44" s="1" t="str">
        <v>Defense</v>
      </c>
      <c r="DT44" s="1" t="str">
        <f t="shared" si="26"/>
        <v>Ozone</v>
      </c>
      <c r="DU44" s="1" t="str">
        <v>Melusi</v>
      </c>
      <c r="DV44" s="21" t="b" cm="1">
        <f t="array" ref="DV44">ConvertToRoundTime(secandmin(AS12),secandmin(CJ30),AT12)</f>
        <v>0</v>
      </c>
      <c r="DW44" s="1" t="b">
        <v>0</v>
      </c>
      <c r="DX44" s="1" t="str" cm="1">
        <f t="array" ref="DX44">DeathRefragged(DV44,MAX(ES12,ES28,ES44,ES60,ES76,FA93),MAX(EZ12,EZ28,EZ44,EZ60,EZ76,FI93),MAX(FG12,FG28,FG44,FG60,FG76,FP93),MAX(FN12,FN28,FN44,FN60,FN76,FW93),MAX(FU12,FU28,FU44,FU60,FU76,GD93),$Q$2)</f>
        <v>N/A</v>
      </c>
      <c r="DY44" s="1" t="str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1</v>
      </c>
      <c r="EJ44" s="1" t="b">
        <f t="shared" si="29"/>
        <v>1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UNKNOWN</v>
      </c>
      <c r="EQ44" s="1" t="b">
        <v>0</v>
      </c>
      <c r="ER44" s="1" t="str">
        <v>Lakqi</v>
      </c>
      <c r="ES44" s="1">
        <v>16</v>
      </c>
      <c r="ET44" s="1" t="b">
        <v>0</v>
      </c>
      <c r="EU44" s="1" t="b">
        <v>1</v>
      </c>
      <c r="EV44" s="1" t="b" cm="1">
        <f t="array" ref="EV44">DeathTraded(ES44,$O$4,DV12,$O$2,DV28,$O$3,DV44,$O$4,DV60,$O$5,DV76,$O$6,$R$2)</f>
        <v>0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NOLOC</v>
      </c>
      <c r="FE44" s="1" t="b">
        <v>0</v>
      </c>
      <c r="FF44" s="1" t="b">
        <v>0</v>
      </c>
      <c r="FG44" s="1" t="b">
        <v>0</v>
      </c>
      <c r="FH44" s="1" t="b">
        <v>0</v>
      </c>
      <c r="FI44" s="1" t="b">
        <v>0</v>
      </c>
      <c r="FJ44" s="1" t="str" cm="1">
        <f t="array" ref="FJ44">DeathTraded(FG44,$O$4,DV12,$O$2,DV28,$O$3,DV44,$O$4,DV60,$O$5,DV76,$O$6,$R$2)</f>
        <v>N/A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str" cm="1">
        <f t="array" ref="GF44">IF($V$2=TRUE,IF(CH30="Attack",ConvertToRoundTime(secandmin(BO30),secandmin(CJ30),BP30),""),"NO DATA")</f>
        <v/>
      </c>
      <c r="GG44" s="1" t="str" cm="1">
        <f t="array" ref="GG44">IF($V$2=TRUE,IF(CH30="Attack",ConvertToRoundTime(secandmin(BQ30),secandmin(CJ30),BR30),""),"NO DATA")</f>
        <v/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9" t="str">
        <f ca="1">A2</f>
        <v>8_22 Clubhouse_1</v>
      </c>
      <c r="DR45" s="5">
        <v>7</v>
      </c>
      <c r="DS45" s="1" t="str">
        <v>Attack</v>
      </c>
      <c r="DT45" s="1" t="str">
        <f t="shared" si="26"/>
        <v>Ozone</v>
      </c>
      <c r="DU45" s="1" t="str">
        <v>Zofia</v>
      </c>
      <c r="DV45" s="21" cm="1">
        <f t="array" ref="DV45">ConvertToRoundTime(secandmin(AS13),secandmin(CJ31),AT13)</f>
        <v>172</v>
      </c>
      <c r="DW45" s="1" t="str">
        <v>Rye</v>
      </c>
      <c r="DX45" s="1" t="b" cm="1">
        <f t="array" ref="DX45">DeathRefragged(DV45,MAX(ES13,ES29,ES45,ES61,ES77,FA94),MAX(EZ13,EZ29,EZ45,EZ61,EZ77,FI94),MAX(FG13,FG29,FG45,FG61,FG77,FP94),MAX(FN13,FN29,FN45,FN61,FN77,FW94),MAX(FU13,FU29,FU45,FU61,FU77,GD94),$Q$2)</f>
        <v>0</v>
      </c>
      <c r="DY45" s="1" t="b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0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1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0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0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UNKNOWN</v>
      </c>
      <c r="FE45" s="1" t="b">
        <v>0</v>
      </c>
      <c r="FF45" s="1" t="str">
        <v>Hiperzz</v>
      </c>
      <c r="FG45" s="1">
        <v>120</v>
      </c>
      <c r="FH45" s="1" t="b">
        <v>0</v>
      </c>
      <c r="FI45" s="1" t="b">
        <v>0</v>
      </c>
      <c r="FJ45" s="1" t="b" cm="1">
        <f t="array" ref="FJ45">DeathTraded(FG45,$O$4,DV13,$O$2,DV29,$O$3,DV45,$O$4,DV61,$O$5,DV77,$O$6,$R$2)</f>
        <v>0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b" cm="1">
        <f t="array" ref="GF45">IF($V$2=TRUE,IF(CH31="Attack",ConvertToRoundTime(secandmin(BO31),secandmin(CJ31),BP31),""),"NO DATA")</f>
        <v>0</v>
      </c>
      <c r="GG45" s="1" t="b" cm="1">
        <f t="array" ref="GG45">IF($V$2=TRUE,IF(CH31="Attack",ConvertToRoundTime(secandmin(BQ31),secandmin(CJ31),BR31),""),"NO DATA")</f>
        <v>0</v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9" t="str">
        <f ca="1">A2</f>
        <v>8_22 Clubhouse_1</v>
      </c>
      <c r="DR46" s="4">
        <v>8</v>
      </c>
      <c r="DS46" s="1" t="str">
        <v>Attack</v>
      </c>
      <c r="DT46" s="1" t="str">
        <f t="shared" si="26"/>
        <v>Ozone</v>
      </c>
      <c r="DU46" s="1" t="str">
        <v>Ace</v>
      </c>
      <c r="DV46" s="21" cm="1">
        <f t="array" ref="DV46">ConvertToRoundTime(secandmin(AS14),secandmin(CJ32),AT14)</f>
        <v>43</v>
      </c>
      <c r="DW46" s="1" t="str">
        <v>Hox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1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1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b" cm="1">
        <f t="array" ref="GF46">IF($V$2=TRUE,IF(CH32="Attack",ConvertToRoundTime(secandmin(BO32),secandmin(CJ32),BP32),""),"NO DATA")</f>
        <v>0</v>
      </c>
      <c r="GG46" s="1" t="b" cm="1">
        <f t="array" ref="GG46">IF($V$2=TRUE,IF(CH32="Attack",ConvertToRoundTime(secandmin(BQ32),secandmin(CJ32),BR32),""),"NO DATA")</f>
        <v>0</v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9" t="str">
        <f ca="1">A2</f>
        <v>8_22 Clubhouse_1</v>
      </c>
      <c r="DR47" s="5">
        <v>9</v>
      </c>
      <c r="DS47" s="1" t="str">
        <v>Attack</v>
      </c>
      <c r="DT47" s="1" t="str">
        <f t="shared" si="26"/>
        <v>Ozone</v>
      </c>
      <c r="DU47" s="1" t="str">
        <v>Ace</v>
      </c>
      <c r="DV47" s="21" cm="1">
        <f t="array" ref="DV47">ConvertToRoundTime(secandmin(AS15),secandmin(CJ33),AT15)</f>
        <v>164</v>
      </c>
      <c r="DW47" s="1" t="str">
        <v>Hox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b" cm="1">
        <f t="array" ref="GF47">IF($V$2=TRUE,IF(CH33="Attack",ConvertToRoundTime(secandmin(BO33),secandmin(CJ33),BP33),""),"NO DATA")</f>
        <v>0</v>
      </c>
      <c r="GG47" s="1" t="b" cm="1">
        <f t="array" ref="GG47">IF($V$2=TRUE,IF(CH33="Attack",ConvertToRoundTime(secandmin(BQ33),secandmin(CJ33),BR33),""),"NO DATA")</f>
        <v>0</v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9" t="str">
        <f ca="1">A2</f>
        <v>8_22 Clubhouse_1</v>
      </c>
      <c r="DR48" s="4">
        <v>10</v>
      </c>
      <c r="DS48" s="1" t="str">
        <v>Attack</v>
      </c>
      <c r="DT48" s="1" t="str">
        <f t="shared" si="26"/>
        <v>Ozone</v>
      </c>
      <c r="DU48" s="1" t="str">
        <v>Ace</v>
      </c>
      <c r="DV48" s="21" cm="1">
        <f t="array" ref="DV48">ConvertToRoundTime(secandmin(AS16),secandmin(CJ34),AT16)</f>
        <v>154</v>
      </c>
      <c r="DW48" s="1" t="str">
        <v>Rye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0</v>
      </c>
      <c r="ED48" s="4">
        <v>10</v>
      </c>
      <c r="EE48" s="1">
        <f t="shared" si="24"/>
        <v>1</v>
      </c>
      <c r="EF48" s="1">
        <f t="shared" si="27"/>
        <v>1</v>
      </c>
      <c r="EG48" s="1">
        <f t="shared" si="28"/>
        <v>0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1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1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Saryz</v>
      </c>
      <c r="FG48" s="1">
        <v>128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NOLOC</v>
      </c>
      <c r="FS48" s="1" t="b">
        <v>0</v>
      </c>
      <c r="FT48" s="1" t="b">
        <v>0</v>
      </c>
      <c r="FU48" s="1" t="b">
        <v>0</v>
      </c>
      <c r="FV48" s="1" t="b">
        <v>0</v>
      </c>
      <c r="FW48" s="1" t="b">
        <v>0</v>
      </c>
      <c r="FX48" s="1" t="str" cm="1">
        <f t="array" ref="FX48">DeathTraded(FU48,$O$4,DV16,$O$2,DV32,$O$3,DV48,$O$4,DV64,$O$5,DV80,$O$6,$R$2)</f>
        <v>N/A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b" cm="1">
        <f t="array" ref="GF48">IF($V$2=TRUE,IF(CH34="Attack",ConvertToRoundTime(secandmin(BO34),secandmin(CJ34),BP34),""),"NO DATA")</f>
        <v>0</v>
      </c>
      <c r="GG48" s="1" t="b" cm="1">
        <f t="array" ref="GG48">IF($V$2=TRUE,IF(CH34="Attack",ConvertToRoundTime(secandmin(BQ34),secandmin(CJ34),BR34),""),"NO DATA")</f>
        <v>0</v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9" t="str">
        <f ca="1">A2</f>
        <v>8_22 Clubhouse_1</v>
      </c>
      <c r="DR49" s="5">
        <v>11</v>
      </c>
      <c r="DS49" s="1" t="str">
        <v>Attack</v>
      </c>
      <c r="DT49" s="1" t="str">
        <f t="shared" si="26"/>
        <v>Ozone</v>
      </c>
      <c r="DU49" s="1" t="str">
        <v>Ace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0</v>
      </c>
      <c r="EF49" s="1">
        <f t="shared" si="27"/>
        <v>0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NOLOC</v>
      </c>
      <c r="FE49" s="1" t="b">
        <v>0</v>
      </c>
      <c r="FF49" s="1" t="b">
        <v>0</v>
      </c>
      <c r="FG49" s="1" t="b">
        <v>0</v>
      </c>
      <c r="FH49" s="1" t="b">
        <v>0</v>
      </c>
      <c r="FI49" s="1" t="b">
        <v>0</v>
      </c>
      <c r="FJ49" s="1" t="str" cm="1">
        <f t="array" ref="FJ49">DeathTraded(FG49,$O$4,DV17,$O$2,DV33,$O$3,DV49,$O$4,DV65,$O$5,DV81,$O$6,$R$2)</f>
        <v>N/A</v>
      </c>
      <c r="FK49" s="1" t="str" cm="1">
        <f t="array" ref="FK49:FP49">DetermineKill(ConvertToRoundTime(secandmin(CT17),secandmin(CJ35),CU17),CS17,CW17,CX17,CV17,CZ17,CY17,$O$4)</f>
        <v>NOLOC</v>
      </c>
      <c r="FL49" s="1" t="b">
        <v>0</v>
      </c>
      <c r="FM49" s="1" t="b">
        <v>0</v>
      </c>
      <c r="FN49" s="1" t="b">
        <v>0</v>
      </c>
      <c r="FO49" s="1" t="b">
        <v>0</v>
      </c>
      <c r="FP49" s="1" t="b">
        <v>0</v>
      </c>
      <c r="FQ49" s="1" t="str" cm="1">
        <f t="array" ref="FQ49">DeathTraded(FN49,$O$4,DV17,$O$2,DV33,$O$3,DV49,$O$4,DV65,$O$5,DV81,$O$6,$R$2)</f>
        <v>N/A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b" cm="1">
        <f t="array" ref="GF49">IF($V$2=TRUE,IF(CH35="Attack",ConvertToRoundTime(secandmin(BO35),secandmin(CJ35),BP35),""),"NO DATA")</f>
        <v>0</v>
      </c>
      <c r="GG49" s="1" t="b" cm="1">
        <f t="array" ref="GG49">IF($V$2=TRUE,IF(CH35="Attack",ConvertToRoundTime(secandmin(BQ35),secandmin(CJ35),BR35),""),"NO DATA")</f>
        <v>0</v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9" t="str">
        <f ca="1">A2</f>
        <v>8_22 Clubhouse_1</v>
      </c>
      <c r="DR50" s="4">
        <v>12</v>
      </c>
      <c r="DS50" s="1" t="str">
        <v>Attack</v>
      </c>
      <c r="DT50" s="1" t="str">
        <f t="shared" si="26"/>
        <v>Ozone</v>
      </c>
      <c r="DU50" s="1" t="str">
        <v>Ace</v>
      </c>
      <c r="DV50" s="21" cm="1">
        <f t="array" ref="DV50">ConvertToRoundTime(secandmin(AS18),secandmin(CJ36),AT18)</f>
        <v>146</v>
      </c>
      <c r="DW50" s="1" t="str">
        <v>Rye</v>
      </c>
      <c r="DX50" s="1" t="b" cm="1">
        <f t="array" ref="DX50">DeathRefragged(DV50,MAX(ES18,ES34,ES50,ES66,ES82,FA99),MAX(EZ18,EZ34,EZ50,EZ66,EZ82,FI99),MAX(FG18,FG34,FG50,FG66,FG82,FP99),MAX(FN18,FN34,FN50,FN66,FN82,FW99),MAX(FU18,FU34,FU50,FU66,FU82,GD99),$Q$2)</f>
        <v>0</v>
      </c>
      <c r="DY50" s="1" t="b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b" cm="1">
        <f t="array" ref="EM50">IF(NOT(ISBLANK(CP36)),KOST(EE50,DY50,DV50,EL50),"NOT PLAYED")</f>
        <v>0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b" cm="1">
        <f t="array" ref="GF50">IF($V$2=TRUE,IF(CH36="Attack",ConvertToRoundTime(secandmin(BO36),secandmin(CJ36),BP36),""),"NO DATA")</f>
        <v>0</v>
      </c>
      <c r="GG50" s="1" t="b" cm="1">
        <f t="array" ref="GG50">IF($V$2=TRUE,IF(CH36="Attack",ConvertToRoundTime(secandmin(BQ36),secandmin(CJ36),BR36),""),"NO DATA")</f>
        <v>0</v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9" t="str">
        <f ca="1">A2</f>
        <v>8_22 Clubhouse_1</v>
      </c>
      <c r="DR51" s="5">
        <v>13</v>
      </c>
      <c r="DS51" s="1" t="str">
        <v>Attack</v>
      </c>
      <c r="DT51" s="1" t="str">
        <f t="shared" si="26"/>
        <v>Ozone</v>
      </c>
      <c r="DU51" s="1" t="str">
        <v>Zofia</v>
      </c>
      <c r="DV51" s="21" cm="1">
        <f t="array" ref="DV51">ConvertToRoundTime(secandmin(AS19),secandmin(CJ37),AT19)</f>
        <v>164</v>
      </c>
      <c r="DW51" s="1" t="str">
        <v>Rye</v>
      </c>
      <c r="DX51" s="1" t="b" cm="1">
        <f t="array" ref="DX51">DeathRefragged(DV51,MAX(ES19,ES35,ES51,ES67,ES83,FA100),MAX(EZ19,EZ35,EZ51,EZ67,EZ83,FI100),MAX(FG19,FG35,FG51,FG67,FG83,FP100),MAX(FN19,FN35,FN51,FN67,FN83,FW100),MAX(FU19,FU35,FU51,FU67,FU83,GD100),$Q$2)</f>
        <v>0</v>
      </c>
      <c r="DY51" s="1" t="b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0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1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b" cm="1">
        <f t="array" ref="EM51">IF(NOT(ISBLANK(CP37)),KOST(EE51,DY51,DV51,EL51),"NOT PLAYED")</f>
        <v>1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UNKNOWN</v>
      </c>
      <c r="FE51" s="1" t="b">
        <v>0</v>
      </c>
      <c r="FF51" s="1" t="str">
        <v>Lakqi</v>
      </c>
      <c r="FG51" s="1">
        <v>152</v>
      </c>
      <c r="FH51" s="1" t="b">
        <v>0</v>
      </c>
      <c r="FI51" s="1" t="b">
        <v>0</v>
      </c>
      <c r="FJ51" s="1" t="b" cm="1">
        <f t="array" ref="FJ51">DeathTraded(FG51,$O$4,DV19,$O$2,DV35,$O$3,DV51,$O$4,DV67,$O$5,DV83,$O$6,$R$2)</f>
        <v>0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b" cm="1">
        <f t="array" ref="GF51">IF($V$2=TRUE,IF(CH37="Attack",ConvertToRoundTime(secandmin(BO37),secandmin(CJ37),BP37),""),"NO DATA")</f>
        <v>0</v>
      </c>
      <c r="GG51" s="1" t="b" cm="1">
        <f t="array" ref="GG51">IF($V$2=TRUE,IF(CH37="Attack",ConvertToRoundTime(secandmin(BQ37),secandmin(CJ37),BR37),""),"NO DATA")</f>
        <v>0</v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9" t="str">
        <f ca="1">A2</f>
        <v>8_22 Clubhouse_1</v>
      </c>
      <c r="DR52" s="4">
        <v>14</v>
      </c>
      <c r="DS52" s="1" t="str">
        <v>Defense</v>
      </c>
      <c r="DT52" s="1" t="str">
        <f t="shared" si="26"/>
        <v>Ozone</v>
      </c>
      <c r="DU52" s="1" t="str">
        <v>Melusi</v>
      </c>
      <c r="DV52" s="21" cm="1">
        <f t="array" ref="DV52">ConvertToRoundTime(secandmin(AS20),secandmin(CJ38),AT20)</f>
        <v>119</v>
      </c>
      <c r="DW52" s="1" t="str">
        <v>Hiperzz</v>
      </c>
      <c r="DX52" s="1" t="b" cm="1">
        <f t="array" ref="DX52">DeathRefragged(DV52,MAX(ES20,ES36,ES52,ES68,ES84,FA101),MAX(EZ20,EZ36,EZ52,EZ68,EZ84,FI101),MAX(FG20,FG36,FG52,FG68,FG84,FP101),MAX(FN20,FN36,FN52,FN68,FN84,FW101),MAX(FU20,FU36,FU52,FU68,FU84,GD101),$Q$2)</f>
        <v>0</v>
      </c>
      <c r="DY52" s="1" t="b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1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1</v>
      </c>
      <c r="EF52" s="1">
        <f t="shared" si="27"/>
        <v>1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1</v>
      </c>
      <c r="EK52" s="4">
        <v>14</v>
      </c>
      <c r="EL52" s="1" t="b">
        <v>0</v>
      </c>
      <c r="EM52" s="1" t="b" cm="1">
        <f t="array" ref="EM52">IF(NOT(ISBLANK(CP38)),KOST(EE52,DY52,DV52,EL52),"NOT PLAYED")</f>
        <v>1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UNKNOWN</v>
      </c>
      <c r="EQ52" s="1" t="b">
        <v>0</v>
      </c>
      <c r="ER52" s="1" t="str">
        <v>Lakqi</v>
      </c>
      <c r="ES52" s="1">
        <v>114</v>
      </c>
      <c r="ET52" s="1" t="b">
        <v>0</v>
      </c>
      <c r="EU52" s="1" t="b">
        <v>1</v>
      </c>
      <c r="EV52" s="1" t="b" cm="1">
        <f t="array" ref="EV52">DeathTraded(ES52,$O$4,DV20,$O$2,DV36,$O$3,DV52,$O$4,DV68,$O$5,DV84,$O$6,$R$2)</f>
        <v>1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9" t="str">
        <f ca="1">A2</f>
        <v>8_22 Clubhouse_1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9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51" t="s">
        <v>62</v>
      </c>
      <c r="DX54" s="51" t="s">
        <v>219</v>
      </c>
      <c r="DY54" s="51" t="s">
        <v>220</v>
      </c>
      <c r="DZ54" s="51" t="s">
        <v>221</v>
      </c>
      <c r="EA54" s="51" t="s">
        <v>245</v>
      </c>
      <c r="EB54" s="51" t="s">
        <v>257</v>
      </c>
      <c r="EC54" s="51" t="s">
        <v>258</v>
      </c>
      <c r="ED54" s="52" t="s">
        <v>457</v>
      </c>
      <c r="EE54" s="51" t="s">
        <v>9</v>
      </c>
      <c r="EF54" s="51" t="s">
        <v>222</v>
      </c>
      <c r="EG54" s="51" t="s">
        <v>223</v>
      </c>
      <c r="EH54" s="51" t="s">
        <v>246</v>
      </c>
      <c r="EI54" s="51" t="s">
        <v>259</v>
      </c>
      <c r="EJ54" s="51" t="s">
        <v>260</v>
      </c>
      <c r="EK54" s="52" t="s">
        <v>458</v>
      </c>
      <c r="EL54" s="21" t="s">
        <v>324</v>
      </c>
      <c r="EM54" s="51" t="s">
        <v>33</v>
      </c>
      <c r="EN54" s="51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475</v>
      </c>
      <c r="EY54" s="21" t="s">
        <v>313</v>
      </c>
      <c r="EZ54" s="21" t="s">
        <v>314</v>
      </c>
      <c r="FA54" s="21" t="s">
        <v>474</v>
      </c>
      <c r="FB54" s="21" t="s">
        <v>473</v>
      </c>
      <c r="FC54" s="21" t="s">
        <v>472</v>
      </c>
      <c r="FD54" s="13" t="s">
        <v>63</v>
      </c>
      <c r="FE54" s="13" t="s">
        <v>471</v>
      </c>
      <c r="FF54" s="13" t="s">
        <v>315</v>
      </c>
      <c r="FG54" s="13" t="s">
        <v>316</v>
      </c>
      <c r="FH54" s="13" t="s">
        <v>470</v>
      </c>
      <c r="FI54" s="13" t="s">
        <v>469</v>
      </c>
      <c r="FJ54" s="13" t="s">
        <v>468</v>
      </c>
      <c r="FK54" s="21" t="s">
        <v>64</v>
      </c>
      <c r="FL54" s="21" t="s">
        <v>467</v>
      </c>
      <c r="FM54" s="21" t="s">
        <v>317</v>
      </c>
      <c r="FN54" s="21" t="s">
        <v>318</v>
      </c>
      <c r="FO54" s="21" t="s">
        <v>466</v>
      </c>
      <c r="FP54" s="21" t="s">
        <v>465</v>
      </c>
      <c r="FQ54" s="21" t="s">
        <v>464</v>
      </c>
      <c r="FR54" s="13" t="s">
        <v>65</v>
      </c>
      <c r="FS54" s="13" t="s">
        <v>463</v>
      </c>
      <c r="FT54" s="13" t="s">
        <v>319</v>
      </c>
      <c r="FU54" s="13" t="s">
        <v>320</v>
      </c>
      <c r="FV54" s="13" t="s">
        <v>461</v>
      </c>
      <c r="FW54" s="13" t="s">
        <v>460</v>
      </c>
      <c r="FX54" s="13" t="s">
        <v>462</v>
      </c>
      <c r="FY54" s="16" t="s">
        <v>459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9" t="str">
        <f ca="1">A2</f>
        <v>8_22 Clubhouse_1</v>
      </c>
      <c r="DR55" s="5">
        <v>1</v>
      </c>
      <c r="DS55" s="1" t="str" cm="1">
        <f t="array" ref="DS55:DS69">IF($CH$25:$CH$39=0,"Not Played", $CH$25:$CH$39)</f>
        <v>Defense</v>
      </c>
      <c r="DT55" s="1" t="str">
        <f>$O$5</f>
        <v>Krypticz</v>
      </c>
      <c r="DU55" s="1" t="str" cm="1">
        <f t="array" ref="DU55:DU69">IF($CS$25:$CS39=0,"Not Played",$CS$25:$CS39)</f>
        <v>Smoke</v>
      </c>
      <c r="DV55" s="21" t="b" cm="1">
        <f t="array" ref="DV55">ConvertToRoundTime(secandmin(BA7),secandmin(CJ25),BB7)</f>
        <v>0</v>
      </c>
      <c r="DW55" s="1" t="b" cm="1">
        <f t="array" ref="DW55:DW69">IF($BC$7:$BC$21=0,FALSE,$BC$7:$BC$21)</f>
        <v>0</v>
      </c>
      <c r="DX55" s="1" t="str" cm="1">
        <f t="array" ref="DX55">DeathRefragged(DV55,MAX(ES7,ES23,ES39,ES55,ES71,FA88),MAX(EZ7,EZ23,EZ39,EZ55,EZ71,FI88),MAX(FG7,FG23,FG39,FG55,FG71,FP88),MAX(FN7,FN23,FN39,FN55,FN71,FW88),MAX(FU7,FU23,FU39,FU55,FU71,GD88),$Q$2)</f>
        <v>N/A</v>
      </c>
      <c r="DY55" s="1" t="str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2</v>
      </c>
      <c r="EF55" s="1">
        <f>SUM(IF(EU55=TRUE,1,0),IF(FI55=TRUE,1,0),IF(FP55=TRUE,1,0),IF(FW55=TRUE,1,0),IF(FB55=TRUE,1,0))</f>
        <v>1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Hiperzz</v>
      </c>
      <c r="EZ55" s="1">
        <v>124</v>
      </c>
      <c r="FA55" s="1" t="b">
        <v>0</v>
      </c>
      <c r="FB55" s="1" t="b">
        <v>1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UNKNOWN</v>
      </c>
      <c r="FL55" s="1" t="b">
        <v>0</v>
      </c>
      <c r="FM55" s="1" t="str">
        <v>Hox</v>
      </c>
      <c r="FN55" s="1">
        <v>175</v>
      </c>
      <c r="FO55" s="1" t="b">
        <v>0</v>
      </c>
      <c r="FP55" s="1" t="b">
        <v>0</v>
      </c>
      <c r="FQ55" s="1" t="b" cm="1">
        <f t="array" ref="FQ55">DeathTraded(FN55,$O$5,DV7,$O$2,DV23,$O$3,DV39,$O$4,DV55,$O$5,DV71,$O$6,$R$2)</f>
        <v>0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str" cm="1">
        <f t="array" ref="GF55">IF($V$2=TRUE,IF(CH25="Attack",ConvertToRoundTime(secandmin(BU25),secandmin(CJ25),BV25),""),"NO DATA")</f>
        <v/>
      </c>
      <c r="GG55" s="1" t="str" cm="1">
        <f t="array" ref="GG55">IF($V$2=TRUE,IF(CH25="Attack",ConvertToRoundTime(secandmin(BW25),secandmin(CJ25),BX25),""),"NO DATA")</f>
        <v/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9" t="str">
        <f ca="1">A2</f>
        <v>8_22 Clubhouse_1</v>
      </c>
      <c r="DR56" s="4">
        <v>2</v>
      </c>
      <c r="DS56" s="1" t="str">
        <v>Defense</v>
      </c>
      <c r="DT56" s="1" t="str">
        <f t="shared" ref="DT56:DT69" si="38">$O$5</f>
        <v>Krypticz</v>
      </c>
      <c r="DU56" s="1" t="str">
        <v>Alibi</v>
      </c>
      <c r="DV56" s="21" cm="1">
        <f t="array" ref="DV56">ConvertToRoundTime(secandmin(BA8),secandmin(CJ26),BB8)</f>
        <v>79</v>
      </c>
      <c r="DW56" s="1" t="str">
        <v>Hiperzz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str" cm="1">
        <f t="array" ref="GF56">IF($V$2=TRUE,IF(CH26="Attack",ConvertToRoundTime(secandmin(BU26),secandmin(CJ26),BV26),""),"NO DATA")</f>
        <v/>
      </c>
      <c r="GG56" s="1" t="str" cm="1">
        <f t="array" ref="GG56">IF($V$2=TRUE,IF(CH26="Attack",ConvertToRoundTime(secandmin(BW26),secandmin(CJ26),BX26),""),"NO DATA")</f>
        <v/>
      </c>
    </row>
    <row r="57" spans="28:189" x14ac:dyDescent="0.25">
      <c r="DP57" s="37"/>
      <c r="DQ57" s="49" t="str">
        <f ca="1">A2</f>
        <v>8_22 Clubhouse_1</v>
      </c>
      <c r="DR57" s="5">
        <v>3</v>
      </c>
      <c r="DS57" s="1" t="str">
        <v>Defense</v>
      </c>
      <c r="DT57" s="1" t="str">
        <f t="shared" si="38"/>
        <v>Krypticz</v>
      </c>
      <c r="DU57" s="1" t="str">
        <v>Mute</v>
      </c>
      <c r="DV57" s="21" t="b" cm="1">
        <f t="array" ref="DV57">ConvertToRoundTime(secandmin(BA9),secandmin(CJ27),BB9)</f>
        <v>0</v>
      </c>
      <c r="DW57" s="1" t="b">
        <v>0</v>
      </c>
      <c r="DX57" s="1" t="str" cm="1">
        <f t="array" ref="DX57">DeathRefragged(DV57,MAX(ES9,ES25,ES41,ES57,ES73,FA90),MAX(EZ9,EZ25,EZ41,EZ57,EZ73,FI90),MAX(FG9,FG25,FG41,FG57,FG73,FP90),MAX(FN9,FN25,FN41,FN57,FN73,FW90),MAX(FU9,FU25,FU41,FU57,FU73,GD90),$Q$2)</f>
        <v>N/A</v>
      </c>
      <c r="DY57" s="1" t="str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1</v>
      </c>
      <c r="EF57" s="1">
        <f t="shared" si="39"/>
        <v>1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1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UNKNOWN</v>
      </c>
      <c r="FE57" s="1" t="b">
        <v>0</v>
      </c>
      <c r="FF57" s="1" t="str">
        <v>Rye</v>
      </c>
      <c r="FG57" s="1">
        <v>121</v>
      </c>
      <c r="FH57" s="1" t="b">
        <v>0</v>
      </c>
      <c r="FI57" s="1" t="b">
        <v>1</v>
      </c>
      <c r="FJ57" s="1" t="b" cm="1">
        <f t="array" ref="FJ57">DeathTraded(FG57,$O$5,DV9,$O$2,DV25,$O$3,DV41,$O$4,DV57,$O$5,DV73,$O$6,$R$2)</f>
        <v>0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str" cm="1">
        <f t="array" ref="GF57">IF($V$2=TRUE,IF(CH27="Attack",ConvertToRoundTime(secandmin(BU27),secandmin(CJ27),BV27),""),"NO DATA")</f>
        <v/>
      </c>
      <c r="GG57" s="1" t="str" cm="1">
        <f t="array" ref="GG57">IF($V$2=TRUE,IF(CH27="Attack",ConvertToRoundTime(secandmin(BW27),secandmin(CJ27),BX27),""),"NO DATA")</f>
        <v/>
      </c>
    </row>
    <row r="58" spans="28:189" x14ac:dyDescent="0.25">
      <c r="DP58" s="37"/>
      <c r="DQ58" s="49" t="str">
        <f ca="1">A2</f>
        <v>8_22 Clubhouse_1</v>
      </c>
      <c r="DR58" s="4">
        <v>4</v>
      </c>
      <c r="DS58" s="1" t="str">
        <v>Defense</v>
      </c>
      <c r="DT58" s="1" t="str">
        <f t="shared" si="38"/>
        <v>Krypticz</v>
      </c>
      <c r="DU58" s="1" t="str">
        <v>Smoke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str" cm="1">
        <f t="array" ref="GF58">IF($V$2=TRUE,IF(CH28="Attack",ConvertToRoundTime(secandmin(BU28),secandmin(CJ28),BV28),""),"NO DATA")</f>
        <v/>
      </c>
      <c r="GG58" s="1" t="str" cm="1">
        <f t="array" ref="GG58">IF($V$2=TRUE,IF(CH28="Attack",ConvertToRoundTime(secandmin(BW28),secandmin(CJ28),BX28),""),"NO DATA")</f>
        <v/>
      </c>
    </row>
    <row r="59" spans="28:189" x14ac:dyDescent="0.25">
      <c r="DP59" s="37"/>
      <c r="DQ59" s="49" t="str">
        <f ca="1">A2</f>
        <v>8_22 Clubhouse_1</v>
      </c>
      <c r="DR59" s="5">
        <v>5</v>
      </c>
      <c r="DS59" s="1" t="str">
        <v>Defense</v>
      </c>
      <c r="DT59" s="1" t="str">
        <f t="shared" si="38"/>
        <v>Krypticz</v>
      </c>
      <c r="DU59" s="1" t="str">
        <v>Wamai</v>
      </c>
      <c r="DV59" s="21" t="b" cm="1">
        <f t="array" ref="DV59">ConvertToRoundTime(secandmin(BA11),secandmin(CJ29),BB11)</f>
        <v>0</v>
      </c>
      <c r="DW59" s="1" t="b">
        <v>0</v>
      </c>
      <c r="DX59" s="1" t="str" cm="1">
        <f t="array" ref="DX59">DeathRefragged(DV59,MAX(ES11,ES27,ES43,ES59,ES75,FA92),MAX(EZ11,EZ27,EZ43,EZ59,EZ75,FI92),MAX(FG11,FG27,FG43,FG59,FG75,FP92),MAX(FN11,FN27,FN43,FN59,FN75,FW92),MAX(FU11,FU27,FU43,FU59,FU75,GD92),$Q$2)</f>
        <v>N/A</v>
      </c>
      <c r="DY59" s="1" t="str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1</v>
      </c>
      <c r="EN59" s="1" t="b" cm="1">
        <f t="array" ref="EN59">OneVX(DV75,DV11,DV27,DV43,DV59)</f>
        <v>0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str" cm="1">
        <f t="array" ref="GF59">IF($V$2=TRUE,IF(CH29="Attack",ConvertToRoundTime(secandmin(BU29),secandmin(CJ29),BV29),""),"NO DATA")</f>
        <v/>
      </c>
      <c r="GG59" s="1" t="str" cm="1">
        <f t="array" ref="GG59">IF($V$2=TRUE,IF(CH29="Attack",ConvertToRoundTime(secandmin(BW29),secandmin(CJ29),BX29),""),"NO DATA")</f>
        <v/>
      </c>
    </row>
    <row r="60" spans="28:189" x14ac:dyDescent="0.25">
      <c r="DP60" s="37"/>
      <c r="DQ60" s="49" t="str">
        <f ca="1">A2</f>
        <v>8_22 Clubhouse_1</v>
      </c>
      <c r="DR60" s="4">
        <v>6</v>
      </c>
      <c r="DS60" s="1" t="str">
        <v>Defense</v>
      </c>
      <c r="DT60" s="1" t="str">
        <f t="shared" si="38"/>
        <v>Krypticz</v>
      </c>
      <c r="DU60" s="1" t="str">
        <v>Mute</v>
      </c>
      <c r="DV60" s="21" t="b" cm="1">
        <f t="array" ref="DV60">ConvertToRoundTime(secandmin(BA12),secandmin(CJ30),BB12)</f>
        <v>0</v>
      </c>
      <c r="DW60" s="1" t="b">
        <v>0</v>
      </c>
      <c r="DX60" s="1" t="str" cm="1">
        <f t="array" ref="DX60">DeathRefragged(DV60,MAX(ES12,ES28,ES44,ES60,ES76,FA93),MAX(EZ12,EZ28,EZ44,EZ60,EZ76,FI93),MAX(FG12,FG28,FG44,FG60,FG76,FP93),MAX(FN12,FN28,FN44,FN60,FN76,FW93),MAX(FU12,FU28,FU44,FU60,FU76,GD93),$Q$2)</f>
        <v>N/A</v>
      </c>
      <c r="DY60" s="1" t="str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0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NOLOC</v>
      </c>
      <c r="EX60" s="1" t="b">
        <v>0</v>
      </c>
      <c r="EY60" s="1" t="b">
        <v>0</v>
      </c>
      <c r="EZ60" s="1" t="b">
        <v>0</v>
      </c>
      <c r="FA60" s="1" t="b">
        <v>0</v>
      </c>
      <c r="FB60" s="1" t="b">
        <v>0</v>
      </c>
      <c r="FC60" s="1" t="str" cm="1">
        <f t="array" ref="FC60">DeathTraded(EZ60,$O$5,DV12,$O$2,DV28,$O$3,DV44,$O$4,DV60,$O$5,DV76,$O$6,$R$2)</f>
        <v>N/A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str" cm="1">
        <f t="array" ref="GF60">IF($V$2=TRUE,IF(CH30="Attack",ConvertToRoundTime(secandmin(BU30),secandmin(CJ30),BV30),""),"NO DATA")</f>
        <v/>
      </c>
      <c r="GG60" s="1" t="str" cm="1">
        <f t="array" ref="GG60">IF($V$2=TRUE,IF(CH30="Attack",ConvertToRoundTime(secandmin(BW30),secandmin(CJ30),BX30),""),"NO DATA")</f>
        <v/>
      </c>
    </row>
    <row r="61" spans="28:189" x14ac:dyDescent="0.25">
      <c r="DP61" s="37"/>
      <c r="DQ61" s="49" t="str">
        <f ca="1">A2</f>
        <v>8_22 Clubhouse_1</v>
      </c>
      <c r="DR61" s="5">
        <v>7</v>
      </c>
      <c r="DS61" s="1" t="str">
        <v>Attack</v>
      </c>
      <c r="DT61" s="1" t="str">
        <f t="shared" si="38"/>
        <v>Krypticz</v>
      </c>
      <c r="DU61" s="1" t="str">
        <v>Sledge</v>
      </c>
      <c r="DV61" s="21" cm="1">
        <f t="array" ref="DV61">ConvertToRoundTime(secandmin(BA13),secandmin(CJ31),BB13)</f>
        <v>98</v>
      </c>
      <c r="DW61" s="1" t="str">
        <v>Hiperzz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0</v>
      </c>
      <c r="ED61" s="5">
        <v>7</v>
      </c>
      <c r="EE61" s="1">
        <f t="shared" si="36"/>
        <v>0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NOLOC</v>
      </c>
      <c r="FS61" s="1" t="b">
        <v>0</v>
      </c>
      <c r="FT61" s="1" t="b">
        <v>0</v>
      </c>
      <c r="FU61" s="1" t="b">
        <v>0</v>
      </c>
      <c r="FV61" s="1" t="b">
        <v>0</v>
      </c>
      <c r="FW61" s="1" t="b">
        <v>0</v>
      </c>
      <c r="FX61" s="1" t="str" cm="1">
        <f t="array" ref="FX61">DeathTraded(FU61,$O$5,DV13,$O$2,DV29,$O$3,DV45,$O$4,DV61,$O$5,DV77,$O$6,$R$2)</f>
        <v>N/A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b" cm="1">
        <f t="array" ref="GF61">IF($V$2=TRUE,IF(CH31="Attack",ConvertToRoundTime(secandmin(BU31),secandmin(CJ31),BV31),""),"NO DATA")</f>
        <v>0</v>
      </c>
      <c r="GG61" s="1" t="b" cm="1">
        <f t="array" ref="GG61">IF($V$2=TRUE,IF(CH31="Attack",ConvertToRoundTime(secandmin(BW31),secandmin(CJ31),BX31),""),"NO DATA")</f>
        <v>0</v>
      </c>
    </row>
    <row r="62" spans="28:189" x14ac:dyDescent="0.25">
      <c r="DP62" s="37"/>
      <c r="DQ62" s="49" t="str">
        <f ca="1">A2</f>
        <v>8_22 Clubhouse_1</v>
      </c>
      <c r="DR62" s="4">
        <v>8</v>
      </c>
      <c r="DS62" s="1" t="str">
        <v>Attack</v>
      </c>
      <c r="DT62" s="1" t="str">
        <f t="shared" si="38"/>
        <v>Krypticz</v>
      </c>
      <c r="DU62" s="1" t="str">
        <v>Sledge</v>
      </c>
      <c r="DV62" s="21" cm="1">
        <f t="array" ref="DV62">ConvertToRoundTime(secandmin(BA14),secandmin(CJ32),BB14)</f>
        <v>46</v>
      </c>
      <c r="DW62" s="1" t="str">
        <v>Saryz</v>
      </c>
      <c r="DX62" s="1" t="b" cm="1">
        <f t="array" ref="DX62">DeathRefragged(DV62,MAX(ES14,ES30,ES46,ES62,ES78,FA95),MAX(EZ14,EZ30,EZ46,EZ62,EZ78,FI95),MAX(FG14,FG30,FG46,FG62,FG78,FP95),MAX(FN14,FN30,FN46,FN62,FN78,FW95),MAX(FU14,FU30,FU46,FU62,FU78,GD95),$Q$2)</f>
        <v>0</v>
      </c>
      <c r="DY62" s="1" t="b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2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1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UNKNOWN</v>
      </c>
      <c r="EQ62" s="1" t="b">
        <v>0</v>
      </c>
      <c r="ER62" s="1" t="str">
        <v>Rye</v>
      </c>
      <c r="ES62" s="1">
        <v>44</v>
      </c>
      <c r="ET62" s="1" t="b">
        <v>0</v>
      </c>
      <c r="EU62" s="1" t="b">
        <v>0</v>
      </c>
      <c r="EV62" s="1" t="b" cm="1">
        <f t="array" ref="EV62">DeathTraded(ES62,$O$5,DV14,$O$2,DV30,$O$3,DV46,$O$4,DV62,$O$5,DV78,$O$6,$R$2)</f>
        <v>1</v>
      </c>
      <c r="EW62" s="1" t="str" cm="1">
        <f t="array" ref="EW62:FB62">DetermineKill(ConvertToRoundTime(secandmin(CB14),secandmin(CJ32),CC14),CA14,CE14,CF14,CD14,CH14,CG14,$O$5)</f>
        <v>UNKNOWN</v>
      </c>
      <c r="EX62" s="1" t="b">
        <v>0</v>
      </c>
      <c r="EY62" s="1" t="str">
        <v>Hox</v>
      </c>
      <c r="EZ62" s="1">
        <v>45</v>
      </c>
      <c r="FA62" s="1" t="b">
        <v>0</v>
      </c>
      <c r="FB62" s="1" t="b">
        <v>0</v>
      </c>
      <c r="FC62" s="1" t="b" cm="1">
        <f t="array" ref="FC62">DeathTraded(EZ62,$O$5,DV14,$O$2,DV30,$O$3,DV46,$O$4,DV62,$O$5,DV78,$O$6,$R$2)</f>
        <v>1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b" cm="1">
        <f t="array" ref="GF62">IF($V$2=TRUE,IF(CH32="Attack",ConvertToRoundTime(secandmin(BU32),secandmin(CJ32),BV32),""),"NO DATA")</f>
        <v>0</v>
      </c>
      <c r="GG62" s="1" t="b" cm="1">
        <f t="array" ref="GG62">IF($V$2=TRUE,IF(CH32="Attack",ConvertToRoundTime(secandmin(BW32),secandmin(CJ32),BX32),""),"NO DATA")</f>
        <v>0</v>
      </c>
    </row>
    <row r="63" spans="28:189" x14ac:dyDescent="0.25">
      <c r="DP63" s="37"/>
      <c r="DQ63" s="49" t="str">
        <f ca="1">A2</f>
        <v>8_22 Clubhouse_1</v>
      </c>
      <c r="DR63" s="5">
        <v>9</v>
      </c>
      <c r="DS63" s="1" t="str">
        <v>Attack</v>
      </c>
      <c r="DT63" s="1" t="str">
        <f t="shared" si="38"/>
        <v>Krypticz</v>
      </c>
      <c r="DU63" s="1" t="str">
        <v>Zofia</v>
      </c>
      <c r="DV63" s="21" cm="1">
        <f t="array" ref="DV63">ConvertToRoundTime(secandmin(BA15),secandmin(CJ33),BB15)</f>
        <v>170</v>
      </c>
      <c r="DW63" s="1" t="str">
        <v>Saryz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0</v>
      </c>
      <c r="EC63" s="1" t="b" cm="1">
        <f t="array" ref="EC63">EntryDeath(DV63,DV47,DV31,DV15,DV79)</f>
        <v>0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b" cm="1">
        <f t="array" ref="GF63">IF($V$2=TRUE,IF(CH33="Attack",ConvertToRoundTime(secandmin(BU33),secandmin(CJ33),BV33),""),"NO DATA")</f>
        <v>0</v>
      </c>
      <c r="GG63" s="1" t="b" cm="1">
        <f t="array" ref="GG63">IF($V$2=TRUE,IF(CH33="Attack",ConvertToRoundTime(secandmin(BW33),secandmin(CJ33),BX33),""),"NO DATA")</f>
        <v>0</v>
      </c>
    </row>
    <row r="64" spans="28:189" x14ac:dyDescent="0.25">
      <c r="DP64" s="37"/>
      <c r="DQ64" s="49" t="str">
        <f ca="1">A2</f>
        <v>8_22 Clubhouse_1</v>
      </c>
      <c r="DR64" s="4">
        <v>10</v>
      </c>
      <c r="DS64" s="1" t="str">
        <v>Attack</v>
      </c>
      <c r="DT64" s="1" t="str">
        <f t="shared" si="38"/>
        <v>Krypticz</v>
      </c>
      <c r="DU64" s="1" t="str">
        <v>Nokk</v>
      </c>
      <c r="DV64" s="21" cm="1">
        <f t="array" ref="DV64">ConvertToRoundTime(secandmin(BA16),secandmin(CJ34),BB16)</f>
        <v>86</v>
      </c>
      <c r="DW64" s="1" t="str">
        <v>Saryz</v>
      </c>
      <c r="DX64" s="1" t="b" cm="1">
        <f t="array" ref="DX64">DeathRefragged(DV64,MAX(ES16,ES32,ES48,ES64,ES80,FA97),MAX(EZ16,EZ32,EZ48,EZ64,EZ80,FI97),MAX(FG16,FG32,FG48,FG64,FG80,FP97),MAX(FN16,FN32,FN48,FN64,FN80,FW97),MAX(FU16,FU32,FU48,FU64,FU80,GD97),$Q$2)</f>
        <v>0</v>
      </c>
      <c r="DY64" s="1" t="b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2</v>
      </c>
      <c r="EF64" s="1">
        <f t="shared" si="39"/>
        <v>1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1</v>
      </c>
      <c r="EJ64" s="1" t="b">
        <f t="shared" si="41"/>
        <v>1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UNKNOWN</v>
      </c>
      <c r="EQ64" s="1" t="b">
        <v>0</v>
      </c>
      <c r="ER64" s="1" t="str">
        <v>Lakqi</v>
      </c>
      <c r="ES64" s="1">
        <v>36</v>
      </c>
      <c r="ET64" s="1" t="b">
        <v>0</v>
      </c>
      <c r="EU64" s="1" t="b">
        <v>1</v>
      </c>
      <c r="EV64" s="1" t="b" cm="1">
        <f t="array" ref="EV64">DeathTraded(ES64,$O$5,DV16,$O$2,DV32,$O$3,DV48,$O$4,DV64,$O$5,DV80,$O$6,$R$2)</f>
        <v>0</v>
      </c>
      <c r="EW64" s="1" t="str" cm="1">
        <f t="array" ref="EW64:FB64">DetermineKill(ConvertToRoundTime(secandmin(CB16),secandmin(CJ34),CC16),CA16,CE16,CF16,CD16,CH16,CG16,$O$5)</f>
        <v>UNKNOWN</v>
      </c>
      <c r="EX64" s="1" t="b">
        <v>0</v>
      </c>
      <c r="EY64" s="1" t="str">
        <v>Hiperzz</v>
      </c>
      <c r="EZ64" s="1">
        <v>65</v>
      </c>
      <c r="FA64" s="1" t="b">
        <v>0</v>
      </c>
      <c r="FB64" s="1" t="b">
        <v>0</v>
      </c>
      <c r="FC64" s="1" t="b" cm="1">
        <f t="array" ref="FC64">DeathTraded(EZ64,$O$5,DV16,$O$2,DV32,$O$3,DV48,$O$4,DV64,$O$5,DV80,$O$6,$R$2)</f>
        <v>0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b" cm="1">
        <f t="array" ref="GF64">IF($V$2=TRUE,IF(CH34="Attack",ConvertToRoundTime(secandmin(BU34),secandmin(CJ34),BV34),""),"NO DATA")</f>
        <v>0</v>
      </c>
      <c r="GG64" s="1" t="b" cm="1">
        <f t="array" ref="GG64">IF($V$2=TRUE,IF(CH34="Attack",ConvertToRoundTime(secandmin(BW34),secandmin(CJ34),BX34),""),"NO DATA")</f>
        <v>0</v>
      </c>
    </row>
    <row r="65" spans="120:189" x14ac:dyDescent="0.25">
      <c r="DP65" s="37"/>
      <c r="DQ65" s="49" t="str">
        <f ca="1">A2</f>
        <v>8_22 Clubhouse_1</v>
      </c>
      <c r="DR65" s="5">
        <v>11</v>
      </c>
      <c r="DS65" s="1" t="str">
        <v>Attack</v>
      </c>
      <c r="DT65" s="1" t="str">
        <f t="shared" si="38"/>
        <v>Krypticz</v>
      </c>
      <c r="DU65" s="1" t="str">
        <v>Sledge</v>
      </c>
      <c r="DV65" s="21" cm="1">
        <f t="array" ref="DV65">ConvertToRoundTime(secandmin(BA17),secandmin(CJ35),BB17)</f>
        <v>17</v>
      </c>
      <c r="DW65" s="1" t="str">
        <v>Lakqi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1</v>
      </c>
      <c r="EC65" s="1" t="b" cm="1">
        <f t="array" ref="EC65">EntryDeath(DV65,DV49,DV33,DV17,DV81)</f>
        <v>1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1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b" cm="1">
        <f t="array" ref="GF65">IF($V$2=TRUE,IF(CH35="Attack",ConvertToRoundTime(secandmin(BU35),secandmin(CJ35),BV35),""),"NO DATA")</f>
        <v>0</v>
      </c>
      <c r="GG65" s="1" t="b" cm="1">
        <f t="array" ref="GG65">IF($V$2=TRUE,IF(CH35="Attack",ConvertToRoundTime(secandmin(BW35),secandmin(CJ35),BX35),""),"NO DATA")</f>
        <v>0</v>
      </c>
    </row>
    <row r="66" spans="120:189" x14ac:dyDescent="0.25">
      <c r="DP66" s="37"/>
      <c r="DQ66" s="49" t="str">
        <f ca="1">A2</f>
        <v>8_22 Clubhouse_1</v>
      </c>
      <c r="DR66" s="4">
        <v>12</v>
      </c>
      <c r="DS66" s="1" t="str">
        <v>Attack</v>
      </c>
      <c r="DT66" s="1" t="str">
        <f t="shared" si="38"/>
        <v>Krypticz</v>
      </c>
      <c r="DU66" s="1" t="str">
        <v>Nokk</v>
      </c>
      <c r="DV66" s="21" cm="1">
        <f t="array" ref="DV66">ConvertToRoundTime(secandmin(BA18),secandmin(CJ36),BB18)</f>
        <v>179</v>
      </c>
      <c r="DW66" s="1" t="str">
        <v>Hox</v>
      </c>
      <c r="DX66" s="1" t="b" cm="1">
        <f t="array" ref="DX66">DeathRefragged(DV66,MAX(ES18,ES34,ES50,ES66,ES82,FA99),MAX(EZ18,EZ34,EZ50,EZ66,EZ82,FI99),MAX(FG18,FG34,FG50,FG66,FG82,FP99),MAX(FN18,FN34,FN50,FN66,FN82,FW99),MAX(FU18,FU34,FU50,FU66,FU82,GD99),$Q$2)</f>
        <v>0</v>
      </c>
      <c r="DY66" s="1" t="b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0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1</v>
      </c>
      <c r="EF66" s="1">
        <f t="shared" si="39"/>
        <v>1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b" cm="1">
        <f t="array" ref="EM66">IF(NOT(ISBLANK(CP36)),KOST(EE66,DY66,DV66,EL66),"NOT PLAYED")</f>
        <v>1</v>
      </c>
      <c r="EN66" s="1" t="b" cm="1">
        <f t="array" ref="EN66">OneVX(DV82,DV18,DV34,DV50,DV66)</f>
        <v>1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UNKNOWN</v>
      </c>
      <c r="FE66" s="1" t="b">
        <v>0</v>
      </c>
      <c r="FF66" s="1" t="str">
        <v>Lakqi</v>
      </c>
      <c r="FG66" s="1">
        <v>149</v>
      </c>
      <c r="FH66" s="1" t="b">
        <v>0</v>
      </c>
      <c r="FI66" s="1" t="b">
        <v>1</v>
      </c>
      <c r="FJ66" s="1" t="b" cm="1">
        <f t="array" ref="FJ66">DeathTraded(FG66,$O$5,DV18,$O$2,DV34,$O$3,DV50,$O$4,DV66,$O$5,DV82,$O$6,$R$2)</f>
        <v>0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b" cm="1">
        <f t="array" ref="GF66">IF($V$2=TRUE,IF(CH36="Attack",ConvertToRoundTime(secandmin(BU36),secandmin(CJ36),BV36),""),"NO DATA")</f>
        <v>0</v>
      </c>
      <c r="GG66" s="1" t="b" cm="1">
        <f t="array" ref="GG66">IF($V$2=TRUE,IF(CH36="Attack",ConvertToRoundTime(secandmin(BW36),secandmin(CJ36),BX36),""),"NO DATA")</f>
        <v>0</v>
      </c>
    </row>
    <row r="67" spans="120:189" x14ac:dyDescent="0.25">
      <c r="DP67" s="37"/>
      <c r="DQ67" s="49" t="str">
        <f ca="1">A2</f>
        <v>8_22 Clubhouse_1</v>
      </c>
      <c r="DR67" s="5">
        <v>13</v>
      </c>
      <c r="DS67" s="1" t="str">
        <v>Attack</v>
      </c>
      <c r="DT67" s="1" t="str">
        <f t="shared" si="38"/>
        <v>Krypticz</v>
      </c>
      <c r="DU67" s="1" t="str">
        <v>Sledge</v>
      </c>
      <c r="DV67" s="21" cm="1">
        <f t="array" ref="DV67">ConvertToRoundTime(secandmin(BA19),secandmin(CJ37),BB19)</f>
        <v>77</v>
      </c>
      <c r="DW67" s="1" t="str">
        <v>Hiperzz</v>
      </c>
      <c r="DX67" s="1" t="b" cm="1">
        <f t="array" ref="DX67">DeathRefragged(DV67,MAX(ES19,ES35,ES51,ES67,ES83,FA100),MAX(EZ19,EZ35,EZ51,EZ67,EZ83,FI100),MAX(FG19,FG35,FG51,FG67,FG83,FP100),MAX(FN19,FN35,FN51,FN67,FN83,FW100),MAX(FU19,FU35,FU51,FU67,FU83,GD100),$Q$2)</f>
        <v>0</v>
      </c>
      <c r="DY67" s="1" t="b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1</v>
      </c>
      <c r="EC67" s="1" t="b" cm="1">
        <f t="array" ref="EC67">EntryDeath(DV67,DV51,DV35,DV19,DV83)</f>
        <v>1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b" cm="1">
        <f t="array" ref="EM67">IF(NOT(ISBLANK(CP37)),KOST(EE67,DY67,DV67,EL67),"NOT PLAYED")</f>
        <v>1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b" cm="1">
        <f t="array" ref="GF67">IF($V$2=TRUE,IF(CH37="Attack",ConvertToRoundTime(secandmin(BU37),secandmin(CJ37),BV37),""),"NO DATA")</f>
        <v>0</v>
      </c>
      <c r="GG67" s="1" t="b" cm="1">
        <f t="array" ref="GG67">IF($V$2=TRUE,IF(CH37="Attack",ConvertToRoundTime(secandmin(BW37),secandmin(CJ37),BX37),""),"NO DATA")</f>
        <v>0</v>
      </c>
    </row>
    <row r="68" spans="120:189" x14ac:dyDescent="0.25">
      <c r="DP68" s="37"/>
      <c r="DQ68" s="49" t="str">
        <f ca="1">A2</f>
        <v>8_22 Clubhouse_1</v>
      </c>
      <c r="DR68" s="4">
        <v>14</v>
      </c>
      <c r="DS68" s="1" t="str">
        <v>Defense</v>
      </c>
      <c r="DT68" s="1" t="str">
        <f t="shared" si="38"/>
        <v>Krypticz</v>
      </c>
      <c r="DU68" s="1" t="str">
        <v>Mute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1</v>
      </c>
      <c r="EF68" s="1">
        <f t="shared" si="39"/>
        <v>1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b" cm="1">
        <f t="array" ref="EM68">IF(NOT(ISBLANK(CP38)),KOST(EE68,DY68,DV68,EL68),"NOT PLAYED")</f>
        <v>1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UNKNOWN</v>
      </c>
      <c r="EX68" s="1" t="b">
        <v>0</v>
      </c>
      <c r="EY68" s="1" t="str">
        <v>Saryz</v>
      </c>
      <c r="EZ68" s="1">
        <v>127</v>
      </c>
      <c r="FA68" s="1" t="b">
        <v>0</v>
      </c>
      <c r="FB68" s="1" t="b">
        <v>1</v>
      </c>
      <c r="FC68" s="1" t="b" cm="1">
        <f t="array" ref="FC68">DeathTraded(EZ68,$O$5,DV20,$O$2,DV36,$O$3,DV52,$O$4,DV68,$O$5,DV84,$O$6,$R$2)</f>
        <v>0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9" t="str">
        <f ca="1">A2</f>
        <v>8_22 Clubhouse_1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Aggro</v>
      </c>
      <c r="DQ70" s="49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51" t="s">
        <v>62</v>
      </c>
      <c r="DX70" s="51" t="s">
        <v>219</v>
      </c>
      <c r="DY70" s="51" t="s">
        <v>220</v>
      </c>
      <c r="DZ70" s="51" t="s">
        <v>221</v>
      </c>
      <c r="EA70" s="51" t="s">
        <v>245</v>
      </c>
      <c r="EB70" s="51" t="s">
        <v>257</v>
      </c>
      <c r="EC70" s="51" t="s">
        <v>258</v>
      </c>
      <c r="ED70" s="52" t="s">
        <v>457</v>
      </c>
      <c r="EE70" s="51" t="s">
        <v>9</v>
      </c>
      <c r="EF70" s="51" t="s">
        <v>222</v>
      </c>
      <c r="EG70" s="51" t="s">
        <v>223</v>
      </c>
      <c r="EH70" s="51" t="s">
        <v>246</v>
      </c>
      <c r="EI70" s="51" t="s">
        <v>259</v>
      </c>
      <c r="EJ70" s="51" t="s">
        <v>260</v>
      </c>
      <c r="EK70" s="52" t="s">
        <v>458</v>
      </c>
      <c r="EL70" s="21" t="s">
        <v>324</v>
      </c>
      <c r="EM70" s="51" t="s">
        <v>33</v>
      </c>
      <c r="EN70" s="51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475</v>
      </c>
      <c r="EY70" s="21" t="s">
        <v>313</v>
      </c>
      <c r="EZ70" s="21" t="s">
        <v>314</v>
      </c>
      <c r="FA70" s="21" t="s">
        <v>474</v>
      </c>
      <c r="FB70" s="21" t="s">
        <v>473</v>
      </c>
      <c r="FC70" s="21" t="s">
        <v>472</v>
      </c>
      <c r="FD70" s="13" t="s">
        <v>63</v>
      </c>
      <c r="FE70" s="13" t="s">
        <v>471</v>
      </c>
      <c r="FF70" s="13" t="s">
        <v>315</v>
      </c>
      <c r="FG70" s="13" t="s">
        <v>316</v>
      </c>
      <c r="FH70" s="13" t="s">
        <v>470</v>
      </c>
      <c r="FI70" s="13" t="s">
        <v>469</v>
      </c>
      <c r="FJ70" s="13" t="s">
        <v>468</v>
      </c>
      <c r="FK70" s="21" t="s">
        <v>64</v>
      </c>
      <c r="FL70" s="21" t="s">
        <v>467</v>
      </c>
      <c r="FM70" s="21" t="s">
        <v>317</v>
      </c>
      <c r="FN70" s="21" t="s">
        <v>318</v>
      </c>
      <c r="FO70" s="21" t="s">
        <v>466</v>
      </c>
      <c r="FP70" s="21" t="s">
        <v>465</v>
      </c>
      <c r="FQ70" s="21" t="s">
        <v>464</v>
      </c>
      <c r="FR70" s="13" t="s">
        <v>65</v>
      </c>
      <c r="FS70" s="13" t="s">
        <v>463</v>
      </c>
      <c r="FT70" s="13" t="s">
        <v>319</v>
      </c>
      <c r="FU70" s="13" t="s">
        <v>320</v>
      </c>
      <c r="FV70" s="13" t="s">
        <v>461</v>
      </c>
      <c r="FW70" s="13" t="s">
        <v>460</v>
      </c>
      <c r="FX70" s="13" t="s">
        <v>462</v>
      </c>
      <c r="FY70" s="16" t="s">
        <v>459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9" t="str">
        <f ca="1">A2</f>
        <v>8_22 Clubhouse_1</v>
      </c>
      <c r="DR71" s="5">
        <v>1</v>
      </c>
      <c r="DS71" s="1" t="str" cm="1">
        <f t="array" ref="DS71:DS85">IF($CH$25:$CH$39=0,"Not Played", $CH$25:$CH$39)</f>
        <v>Defense</v>
      </c>
      <c r="DT71" s="1" t="str">
        <f>$O$6</f>
        <v>Aggro</v>
      </c>
      <c r="DU71" s="1" t="str" cm="1">
        <f t="array" ref="DU71:DU85">IF($CT$25:$CT39=0,"Not Played",$CT$25:$CT39)</f>
        <v>Melusi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0</v>
      </c>
      <c r="EJ71" s="1" t="b">
        <f>IF(ES71=FALSE,FALSE,TRUE)</f>
        <v>0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60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NOLOC</v>
      </c>
      <c r="EQ71" s="1" t="b">
        <v>0</v>
      </c>
      <c r="ER71" s="1" t="b">
        <v>0</v>
      </c>
      <c r="ES71" s="1" t="b">
        <v>0</v>
      </c>
      <c r="ET71" s="1" t="b">
        <v>0</v>
      </c>
      <c r="EU71" s="1" t="b">
        <v>0</v>
      </c>
      <c r="EV71" s="1" t="str" cm="1">
        <f t="array" ref="EV71">DeathTraded(ES71,$O$6,DV7,$O$2,DV23,$O$3,DV39,$O$4,DV55,$O$5,DV71,$O$6,$R$2)</f>
        <v>N/A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UNKNOWN</v>
      </c>
      <c r="FS71" s="1" t="b">
        <v>0</v>
      </c>
      <c r="FT71" s="1" t="str">
        <v>Lakqi</v>
      </c>
      <c r="FU71" s="1">
        <v>175</v>
      </c>
      <c r="FV71" s="1" t="b">
        <v>0</v>
      </c>
      <c r="FW71" s="1" t="b">
        <v>1</v>
      </c>
      <c r="FX71" s="1" t="b" cm="1">
        <f t="array" ref="FX71">DeathTraded(FU71,$O$6,DV7,$O$2,DV23,$O$3,DV39,$O$4,DV55,$O$5,DV71,$O$6,$R$2)</f>
        <v>0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str" cm="1">
        <f t="array" ref="GF71">IF($V$2=TRUE,IF(CH25="Attack",ConvertToRoundTime(secandmin(CA25),secandmin(CJ25),CB25),""),"NO DATA")</f>
        <v/>
      </c>
      <c r="GG71" s="1" t="str" cm="1">
        <f t="array" ref="GG71">IF($V$2=TRUE,IF(CH25="Attack",ConvertToRoundTime(secandmin(CC25),secandmin(CJ25),CD25),""),"NO DATA")</f>
        <v/>
      </c>
    </row>
    <row r="72" spans="120:189" x14ac:dyDescent="0.25">
      <c r="DP72" s="37"/>
      <c r="DQ72" s="49" t="str">
        <f ca="1">A2</f>
        <v>8_22 Clubhouse_1</v>
      </c>
      <c r="DR72" s="4">
        <v>2</v>
      </c>
      <c r="DS72" s="1" t="str">
        <v>Defense</v>
      </c>
      <c r="DT72" s="1" t="str">
        <f t="shared" ref="DT72:DT85" si="50">$O$6</f>
        <v>Aggro</v>
      </c>
      <c r="DU72" s="1" t="str">
        <v>Oryx</v>
      </c>
      <c r="DV72" s="21" cm="1">
        <f t="array" ref="DV72">ConvertToRoundTime(secandmin(BI8),secandmin(CJ26),BJ8)</f>
        <v>138</v>
      </c>
      <c r="DW72" s="1" t="str">
        <v>Rye</v>
      </c>
      <c r="DX72" s="1" t="b" cm="1">
        <f t="array" ref="DX72">DeathRefragged(DV72,MAX(ES8,ES24,ES40,ES56,ES72,FA89),MAX(EZ8,EZ24,EZ40,EZ56,EZ72,FI89),MAX(FG8,FG24,FG40,FG56,FG72,FP89),MAX(FN8,FN24,FN40,FN56,FN72,FW89),MAX(FU8,FU24,FU40,FU56,FU72,GD89),$Q$2)</f>
        <v>0</v>
      </c>
      <c r="DY72" s="1" t="b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0</v>
      </c>
      <c r="EF72" s="1">
        <f t="shared" ref="EF72:EF85" si="51">SUM(IF(EU72=TRUE,1,0),IF(FI72=TRUE,1,0),IF(FP72=TRUE,1,0),IF(FW72=TRUE,1,0),IF(FB72=TRUE,1,0))</f>
        <v>0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0</v>
      </c>
      <c r="EJ72" s="1" t="b">
        <f t="shared" ref="EJ72:EJ85" si="53">IF(ES72=FALSE,FALSE,TRUE)</f>
        <v>0</v>
      </c>
      <c r="EK72" s="4">
        <v>2</v>
      </c>
      <c r="EL72" s="1" t="b">
        <v>0</v>
      </c>
      <c r="EM72" s="1" t="b" cm="1">
        <f t="array" ref="EM72">IF(NOT(ISBLANK(CP26)),KOST(EE72,DY72,DV72,EL72),"NOT PLAYED")</f>
        <v>0</v>
      </c>
      <c r="EN72" s="1" t="b" cm="1">
        <f t="array" ref="EN72">OneVX(DV8,DV24,DV40,DV56,DV72)</f>
        <v>1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NOLOC</v>
      </c>
      <c r="EQ72" s="1" t="b">
        <v>0</v>
      </c>
      <c r="ER72" s="1" t="b">
        <v>0</v>
      </c>
      <c r="ES72" s="1" t="b">
        <v>0</v>
      </c>
      <c r="ET72" s="1" t="b">
        <v>0</v>
      </c>
      <c r="EU72" s="1" t="b">
        <v>0</v>
      </c>
      <c r="EV72" s="1" t="str" cm="1">
        <f t="array" ref="EV72">DeathTraded(ES72,$O$6,DV8,$O$2,DV24,$O$3,DV40,$O$4,DV56,$O$5,DV72,$O$6,$R$2)</f>
        <v>N/A</v>
      </c>
      <c r="EW72" s="1" t="str" cm="1">
        <f t="array" ref="EW72:FB72">DetermineKill(ConvertToRoundTime(secandmin(CB8),secandmin(CJ26),CC8),CA8,CE8,CF8,CD8,CH8,CG8,$O$6)</f>
        <v>NOLOC</v>
      </c>
      <c r="EX72" s="1" t="b">
        <v>0</v>
      </c>
      <c r="EY72" s="1" t="b">
        <v>0</v>
      </c>
      <c r="EZ72" s="1" t="b">
        <v>0</v>
      </c>
      <c r="FA72" s="1" t="b">
        <v>0</v>
      </c>
      <c r="FB72" s="1" t="b">
        <v>0</v>
      </c>
      <c r="FC72" s="1" t="str" cm="1">
        <f t="array" ref="FC72">DeathTraded(EZ72,$O$6,DV8,$O$2,DV24,$O$3,DV40,$O$4,DV56,$O$5,DV72,$O$6,$R$2)</f>
        <v>N/A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str" cm="1">
        <f t="array" ref="GF72">IF($V$2=TRUE,IF(CH26="Attack",ConvertToRoundTime(secandmin(CA26),secandmin(CJ26),CB26),""),"NO DATA")</f>
        <v/>
      </c>
      <c r="GG72" s="1" t="str" cm="1">
        <f t="array" ref="GG72">IF($V$2=TRUE,IF(CH26="Attack",ConvertToRoundTime(secandmin(CC26),secandmin(CJ26),CD26),""),"NO DATA")</f>
        <v/>
      </c>
    </row>
    <row r="73" spans="120:189" x14ac:dyDescent="0.25">
      <c r="DP73" s="37"/>
      <c r="DQ73" s="49" t="str">
        <f ca="1">A2</f>
        <v>8_22 Clubhouse_1</v>
      </c>
      <c r="DR73" s="5">
        <v>3</v>
      </c>
      <c r="DS73" s="1" t="str">
        <v>Defense</v>
      </c>
      <c r="DT73" s="1" t="str">
        <f t="shared" si="50"/>
        <v>Aggro</v>
      </c>
      <c r="DU73" s="1" t="str">
        <v>Pulse</v>
      </c>
      <c r="DV73" s="21" t="b" cm="1">
        <f t="array" ref="DV73">ConvertToRoundTime(secandmin(BI9),secandmin(CJ27),BJ9)</f>
        <v>0</v>
      </c>
      <c r="DW73" s="1" t="b">
        <v>0</v>
      </c>
      <c r="DX73" s="1" t="str" cm="1">
        <f t="array" ref="DX73">DeathRefragged(DV73,MAX(ES9,ES25,ES41,ES57,ES73,FA90),MAX(EZ9,EZ25,EZ41,EZ57,EZ73,FI90),MAX(FG9,FG25,FG41,FG57,FG73,FP90),MAX(FN9,FN25,FN41,FN57,FN73,FW90),MAX(FU9,FU25,FU41,FU57,FU73,GD90),$Q$2)</f>
        <v>N/A</v>
      </c>
      <c r="DY73" s="1" t="str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N/A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1</v>
      </c>
      <c r="EF73" s="1">
        <f t="shared" si="51"/>
        <v>1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1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UNKNOWN</v>
      </c>
      <c r="EX73" s="1" t="b">
        <v>0</v>
      </c>
      <c r="EY73" s="1" t="str">
        <v>Lakqi</v>
      </c>
      <c r="EZ73" s="1">
        <v>78</v>
      </c>
      <c r="FA73" s="1" t="b">
        <v>0</v>
      </c>
      <c r="FB73" s="1" t="b">
        <v>1</v>
      </c>
      <c r="FC73" s="1" t="b" cm="1">
        <f t="array" ref="FC73">DeathTraded(EZ73,$O$6,DV9,$O$2,DV25,$O$3,DV41,$O$4,DV57,$O$5,DV73,$O$6,$R$2)</f>
        <v>0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str" cm="1">
        <f t="array" ref="GF73">IF($V$2=TRUE,IF(CH27="Attack",ConvertToRoundTime(secandmin(CA27),secandmin(CJ27),CB27),""),"NO DATA")</f>
        <v/>
      </c>
      <c r="GG73" s="1" t="str" cm="1">
        <f t="array" ref="GG73">IF($V$2=TRUE,IF(CH27="Attack",ConvertToRoundTime(secandmin(CC27),secandmin(CJ27),CD27),""),"NO DATA")</f>
        <v/>
      </c>
    </row>
    <row r="74" spans="120:189" x14ac:dyDescent="0.25">
      <c r="DP74" s="37"/>
      <c r="DQ74" s="49" t="str">
        <f ca="1">A2</f>
        <v>8_22 Clubhouse_1</v>
      </c>
      <c r="DR74" s="4">
        <v>4</v>
      </c>
      <c r="DS74" s="1" t="str">
        <v>Defense</v>
      </c>
      <c r="DT74" s="1" t="str">
        <f t="shared" si="50"/>
        <v>Aggro</v>
      </c>
      <c r="DU74" s="1" t="str">
        <v>Melusi</v>
      </c>
      <c r="DV74" s="21" cm="1">
        <f t="array" ref="DV74">ConvertToRoundTime(secandmin(BI10),secandmin(CJ28),BJ10)</f>
        <v>178</v>
      </c>
      <c r="DW74" s="1" t="str">
        <v>Rye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1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0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0</v>
      </c>
      <c r="EC74" s="1" t="b" cm="1">
        <f t="array" ref="EC74">EntryDeath(DV74,DV58,DV42,DV26,DV10)</f>
        <v>0</v>
      </c>
      <c r="ED74" s="4">
        <v>4</v>
      </c>
      <c r="EE74" s="1">
        <f t="shared" si="48"/>
        <v>3</v>
      </c>
      <c r="EF74" s="1">
        <f t="shared" si="51"/>
        <v>3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1</v>
      </c>
      <c r="EJ74" s="1" t="b">
        <f t="shared" si="53"/>
        <v>1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UNKNOWN</v>
      </c>
      <c r="EQ74" s="1" t="b">
        <v>0</v>
      </c>
      <c r="ER74" s="1" t="str">
        <v>Hiperzz</v>
      </c>
      <c r="ES74" s="1">
        <v>46</v>
      </c>
      <c r="ET74" s="1" t="b">
        <v>0</v>
      </c>
      <c r="EU74" s="1" t="b">
        <v>1</v>
      </c>
      <c r="EV74" s="1" t="b" cm="1">
        <f t="array" ref="EV74">DeathTraded(ES74,$O$6,DV10,$O$2,DV26,$O$3,DV42,$O$4,DV58,$O$5,DV74,$O$6,$R$2)</f>
        <v>0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Lakqi</v>
      </c>
      <c r="EZ74" s="1">
        <v>57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UNKNOWN</v>
      </c>
      <c r="FE74" s="1" t="b">
        <v>0</v>
      </c>
      <c r="FF74" s="1" t="str">
        <v>Hox</v>
      </c>
      <c r="FG74" s="1">
        <v>173</v>
      </c>
      <c r="FH74" s="1" t="b">
        <v>0</v>
      </c>
      <c r="FI74" s="1" t="b">
        <v>1</v>
      </c>
      <c r="FJ74" s="1" t="b" cm="1">
        <f t="array" ref="FJ74">DeathTraded(FG74,$O$6,DV10,$O$2,DV26,$O$3,DV42,$O$4,DV58,$O$5,DV74,$O$6,$R$2)</f>
        <v>1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str" cm="1">
        <f t="array" ref="GF74">IF($V$2=TRUE,IF(CH28="Attack",ConvertToRoundTime(secandmin(CA28),secandmin(CJ28),CB28),""),"NO DATA")</f>
        <v/>
      </c>
      <c r="GG74" s="1" t="str" cm="1">
        <f t="array" ref="GG74">IF($V$2=TRUE,IF(CH28="Attack",ConvertToRoundTime(secandmin(CC28),secandmin(CJ28),CD28),""),"NO DATA")</f>
        <v/>
      </c>
    </row>
    <row r="75" spans="120:189" x14ac:dyDescent="0.25">
      <c r="DP75" s="37"/>
      <c r="DQ75" s="49" t="str">
        <f ca="1">A2</f>
        <v>8_22 Clubhouse_1</v>
      </c>
      <c r="DR75" s="5">
        <v>5</v>
      </c>
      <c r="DS75" s="1" t="str">
        <v>Defense</v>
      </c>
      <c r="DT75" s="1" t="str">
        <f t="shared" si="50"/>
        <v>Aggro</v>
      </c>
      <c r="DU75" s="1" t="str">
        <v>Oryx</v>
      </c>
      <c r="DV75" s="21" t="b" cm="1">
        <f t="array" ref="DV75">ConvertToRoundTime(secandmin(BI11),secandmin(CJ29),BJ11)</f>
        <v>0</v>
      </c>
      <c r="DW75" s="1" t="b">
        <v>0</v>
      </c>
      <c r="DX75" s="1" t="str" cm="1">
        <f t="array" ref="DX75">DeathRefragged(DV75,MAX(ES11,ES27,ES43,ES59,ES75,FA92),MAX(EZ11,EZ27,EZ43,EZ59,EZ75,FI92),MAX(FG11,FG27,FG43,FG59,FG75,FP92),MAX(FN11,FN27,FN43,FN59,FN75,FW92),MAX(FU11,FU27,FU43,FU59,FU75,GD92),$Q$2)</f>
        <v>N/A</v>
      </c>
      <c r="DY75" s="1" t="str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N/A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4</v>
      </c>
      <c r="EF75" s="1">
        <f t="shared" si="51"/>
        <v>2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1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UNKNOWN</v>
      </c>
      <c r="EX75" s="1" t="b">
        <v>0</v>
      </c>
      <c r="EY75" s="1" t="str">
        <v>Hox</v>
      </c>
      <c r="EZ75" s="1">
        <v>126</v>
      </c>
      <c r="FA75" s="1" t="b">
        <v>0</v>
      </c>
      <c r="FB75" s="1" t="b">
        <v>1</v>
      </c>
      <c r="FC75" s="1" t="b" cm="1">
        <f t="array" ref="FC75">DeathTraded(EZ75,$O$6,DV11,$O$2,DV27,$O$3,DV43,$O$4,DV59,$O$5,DV75,$O$6,$R$2)</f>
        <v>0</v>
      </c>
      <c r="FD75" s="1" t="str" cm="1">
        <f t="array" ref="FD75:FI75">DetermineKill(ConvertToRoundTime(secandmin(CK11),secandmin(CJ29),CL11),CJ11,CN11,CO11,CM11,CQ11,CP11,$O$6)</f>
        <v>UNKNOWN</v>
      </c>
      <c r="FE75" s="1" t="b">
        <v>0</v>
      </c>
      <c r="FF75" s="1" t="str">
        <v>Saryz</v>
      </c>
      <c r="FG75" s="1">
        <v>159</v>
      </c>
      <c r="FH75" s="1" t="b">
        <v>0</v>
      </c>
      <c r="FI75" s="1" t="b">
        <v>0</v>
      </c>
      <c r="FJ75" s="1" t="b" cm="1">
        <f t="array" ref="FJ75">DeathTraded(FG75,$O$6,DV11,$O$2,DV27,$O$3,DV43,$O$4,DV59,$O$5,DV75,$O$6,$R$2)</f>
        <v>0</v>
      </c>
      <c r="FK75" s="1" t="str" cm="1">
        <f t="array" ref="FK75:FP75">DetermineKill(ConvertToRoundTime(secandmin(CT11),secandmin(CJ29),CU11),CS11,CW11,CX11,CV11,CZ11,CY11,$O$6)</f>
        <v>UNKNOWN</v>
      </c>
      <c r="FL75" s="1" t="b">
        <v>0</v>
      </c>
      <c r="FM75" s="1" t="str">
        <v>Rye</v>
      </c>
      <c r="FN75" s="1">
        <v>169</v>
      </c>
      <c r="FO75" s="1" t="b">
        <v>0</v>
      </c>
      <c r="FP75" s="1" t="b">
        <v>0</v>
      </c>
      <c r="FQ75" s="1" t="b" cm="1">
        <f t="array" ref="FQ75">DeathTraded(FN75,$O$6,DV11,$O$2,DV27,$O$3,DV43,$O$4,DV59,$O$5,DV75,$O$6,$R$2)</f>
        <v>0</v>
      </c>
      <c r="FR75" s="1" t="str" cm="1">
        <f t="array" ref="FR75:FW75">DetermineKill(ConvertToRoundTime(secandmin(DC11),secandmin(CJ29),DD11),DB11,DF11,DG11,DE11,DI11,DH11,$O$6)</f>
        <v>UNKNOWN</v>
      </c>
      <c r="FS75" s="1" t="b">
        <v>0</v>
      </c>
      <c r="FT75" s="1" t="str">
        <v>Lakqi</v>
      </c>
      <c r="FU75" s="1">
        <v>177</v>
      </c>
      <c r="FV75" s="1" t="b">
        <v>0</v>
      </c>
      <c r="FW75" s="1" t="b">
        <v>1</v>
      </c>
      <c r="FX75" s="1" t="b" cm="1">
        <f t="array" ref="FX75">DeathTraded(FU75,$O$6,DV11,$O$2,DV27,$O$3,DV43,$O$4,DV59,$O$5,DV75,$O$6,$R$2)</f>
        <v>0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str" cm="1">
        <f t="array" ref="GF75">IF($V$2=TRUE,IF(CH29="Attack",ConvertToRoundTime(secandmin(CA29),secandmin(CJ29),CB29),""),"NO DATA")</f>
        <v/>
      </c>
      <c r="GG75" s="1" t="str" cm="1">
        <f t="array" ref="GG75">IF($V$2=TRUE,IF(CH29="Attack",ConvertToRoundTime(secandmin(CC29),secandmin(CJ29),CD29),""),"NO DATA")</f>
        <v/>
      </c>
    </row>
    <row r="76" spans="120:189" x14ac:dyDescent="0.25">
      <c r="DP76" s="37"/>
      <c r="DQ76" s="49" t="str">
        <f ca="1">A2</f>
        <v>8_22 Clubhouse_1</v>
      </c>
      <c r="DR76" s="4">
        <v>6</v>
      </c>
      <c r="DS76" s="1" t="str">
        <v>Defense</v>
      </c>
      <c r="DT76" s="1" t="str">
        <f t="shared" si="50"/>
        <v>Aggro</v>
      </c>
      <c r="DU76" s="1" t="str">
        <v>Pulse</v>
      </c>
      <c r="DV76" s="21" t="b" cm="1">
        <f t="array" ref="DV76">ConvertToRoundTime(secandmin(BI12),secandmin(CJ30),BJ12)</f>
        <v>0</v>
      </c>
      <c r="DW76" s="1" t="b">
        <v>0</v>
      </c>
      <c r="DX76" s="1" t="str" cm="1">
        <f t="array" ref="DX76">DeathRefragged(DV76,MAX(ES12,ES28,ES44,ES60,ES76,FA93),MAX(EZ12,EZ28,EZ44,EZ60,EZ76,FI93),MAX(FG12,FG28,FG44,FG60,FG76,FP93),MAX(FN12,FN28,FN44,FN60,FN76,FW93),MAX(FU12,FU28,FU44,FU60,FU76,GD93),$Q$2)</f>
        <v>N/A</v>
      </c>
      <c r="DY76" s="1" t="str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0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1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str" cm="1">
        <f t="array" ref="GF76">IF($V$2=TRUE,IF(CH30="Attack",ConvertToRoundTime(secandmin(CA30),secandmin(CJ30),CB30),""),"NO DATA")</f>
        <v/>
      </c>
      <c r="GG76" s="1" t="str" cm="1">
        <f t="array" ref="GG76">IF($V$2=TRUE,IF(CH30="Attack",ConvertToRoundTime(secandmin(CC30),secandmin(CJ30),CD30),""),"NO DATA")</f>
        <v/>
      </c>
    </row>
    <row r="77" spans="120:189" x14ac:dyDescent="0.25">
      <c r="DP77" s="37"/>
      <c r="DQ77" s="49" t="str">
        <f ca="1">A2</f>
        <v>8_22 Clubhouse_1</v>
      </c>
      <c r="DR77" s="5">
        <v>7</v>
      </c>
      <c r="DS77" s="1" t="str">
        <v>Attack</v>
      </c>
      <c r="DT77" s="1" t="str">
        <f t="shared" si="50"/>
        <v>Aggro</v>
      </c>
      <c r="DU77" s="1" t="str">
        <v>Nokk</v>
      </c>
      <c r="DV77" s="21" cm="1">
        <f t="array" ref="DV77">ConvertToRoundTime(secandmin(BI13),secandmin(CJ31),BJ13)</f>
        <v>77</v>
      </c>
      <c r="DW77" s="1" t="str">
        <v>Lakqi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1</v>
      </c>
      <c r="ED77" s="5">
        <v>7</v>
      </c>
      <c r="EE77" s="1">
        <f t="shared" si="48"/>
        <v>0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0</v>
      </c>
      <c r="EJ77" s="1" t="b">
        <f t="shared" si="53"/>
        <v>0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NOLOC</v>
      </c>
      <c r="EQ77" s="1" t="b">
        <v>0</v>
      </c>
      <c r="ER77" s="1" t="b">
        <v>0</v>
      </c>
      <c r="ES77" s="1" t="b">
        <v>0</v>
      </c>
      <c r="ET77" s="1" t="b">
        <v>0</v>
      </c>
      <c r="EU77" s="1" t="b">
        <v>0</v>
      </c>
      <c r="EV77" s="1" t="str" cm="1">
        <f t="array" ref="EV77">DeathTraded(ES77,$O$6,DV13,$O$2,DV29,$O$3,DV45,$O$4,DV61,$O$5,DV77,$O$6,$R$2)</f>
        <v>N/A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b" cm="1">
        <f t="array" ref="GF77">IF($V$2=TRUE,IF(CH31="Attack",ConvertToRoundTime(secandmin(CA31),secandmin(CJ31),CB31),""),"NO DATA")</f>
        <v>0</v>
      </c>
      <c r="GG77" s="1" t="b" cm="1">
        <f t="array" ref="GG77">IF($V$2=TRUE,IF(CH31="Attack",ConvertToRoundTime(secandmin(CC31),secandmin(CJ31),CD31),""),"NO DATA")</f>
        <v>0</v>
      </c>
    </row>
    <row r="78" spans="120:189" x14ac:dyDescent="0.25">
      <c r="DP78" s="37"/>
      <c r="DQ78" s="49" t="str">
        <f ca="1">A2</f>
        <v>8_22 Clubhouse_1</v>
      </c>
      <c r="DR78" s="4">
        <v>8</v>
      </c>
      <c r="DS78" s="1" t="str">
        <v>Attack</v>
      </c>
      <c r="DT78" s="1" t="str">
        <f t="shared" si="50"/>
        <v>Aggro</v>
      </c>
      <c r="DU78" s="1" t="str">
        <v>Lion</v>
      </c>
      <c r="DV78" s="21" cm="1">
        <f t="array" ref="DV78">ConvertToRoundTime(secandmin(BI14),secandmin(CJ32),BJ14)</f>
        <v>68</v>
      </c>
      <c r="DW78" s="1" t="str">
        <v>Lakqi</v>
      </c>
      <c r="DX78" s="1" t="b" cm="1">
        <f t="array" ref="DX78">DeathRefragged(DV78,MAX(ES14,ES30,ES46,ES62,ES78,FA95),MAX(EZ14,EZ30,EZ46,EZ62,EZ78,FI95),MAX(FG14,FG30,FG46,FG62,FG78,FP95),MAX(FN14,FN30,FN46,FN62,FN78,FW95),MAX(FU14,FU30,FU46,FU62,FU78,GD95),$Q$2)</f>
        <v>1</v>
      </c>
      <c r="DY78" s="1" t="b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0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0</v>
      </c>
      <c r="EF78" s="1">
        <f t="shared" si="51"/>
        <v>0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0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NOLOC</v>
      </c>
      <c r="FS78" s="1" t="b">
        <v>0</v>
      </c>
      <c r="FT78" s="1" t="b">
        <v>0</v>
      </c>
      <c r="FU78" s="1" t="b">
        <v>0</v>
      </c>
      <c r="FV78" s="1" t="b">
        <v>0</v>
      </c>
      <c r="FW78" s="1" t="b">
        <v>0</v>
      </c>
      <c r="FX78" s="1" t="str" cm="1">
        <f t="array" ref="FX78">DeathTraded(FU78,$O$6,DV14,$O$2,DV30,$O$3,DV46,$O$4,DV62,$O$5,DV78,$O$6,$R$2)</f>
        <v>N/A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b" cm="1">
        <f t="array" ref="GF78">IF($V$2=TRUE,IF(CH32="Attack",ConvertToRoundTime(secandmin(CA32),secandmin(CJ32),CB32),""),"NO DATA")</f>
        <v>0</v>
      </c>
      <c r="GG78" s="1" t="b" cm="1">
        <f t="array" ref="GG78">IF($V$2=TRUE,IF(CH32="Attack",ConvertToRoundTime(secandmin(CC32),secandmin(CJ32),CD32),""),"NO DATA")</f>
        <v>0</v>
      </c>
    </row>
    <row r="79" spans="120:189" x14ac:dyDescent="0.25">
      <c r="DP79" s="37"/>
      <c r="DQ79" s="49" t="str">
        <f ca="1">A2</f>
        <v>8_22 Clubhouse_1</v>
      </c>
      <c r="DR79" s="5">
        <v>9</v>
      </c>
      <c r="DS79" s="1" t="str">
        <v>Attack</v>
      </c>
      <c r="DT79" s="1" t="str">
        <f t="shared" si="50"/>
        <v>Aggro</v>
      </c>
      <c r="DU79" s="1" t="str">
        <v>Iq</v>
      </c>
      <c r="DV79" s="21" cm="1">
        <f t="array" ref="DV79">ConvertToRoundTime(secandmin(BI15),secandmin(CJ33),BJ15)</f>
        <v>149</v>
      </c>
      <c r="DW79" s="1" t="str">
        <v>Saryz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1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0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NOLOC</v>
      </c>
      <c r="EQ79" s="1" t="b">
        <v>0</v>
      </c>
      <c r="ER79" s="1" t="b">
        <v>0</v>
      </c>
      <c r="ES79" s="1" t="b">
        <v>0</v>
      </c>
      <c r="ET79" s="1" t="b">
        <v>0</v>
      </c>
      <c r="EU79" s="1" t="b">
        <v>0</v>
      </c>
      <c r="EV79" s="1" t="str" cm="1">
        <f t="array" ref="EV79">DeathTraded(ES79,$O$6,DV15,$O$2,DV31,$O$3,DV47,$O$4,DV63,$O$5,DV79,$O$6,$R$2)</f>
        <v>N/A</v>
      </c>
      <c r="EW79" s="1" t="str" cm="1">
        <f t="array" ref="EW79:FB79">DetermineKill(ConvertToRoundTime(secandmin(CB15),secandmin(CJ33),CC15),CA15,CE15,CF15,CD15,CH15,CG15,$O$6)</f>
        <v>UNKNOWN</v>
      </c>
      <c r="EX79" s="1" t="b">
        <v>0</v>
      </c>
      <c r="EY79" s="1" t="str">
        <v>Lakqi</v>
      </c>
      <c r="EZ79" s="1">
        <v>132</v>
      </c>
      <c r="FA79" s="1" t="b">
        <v>0</v>
      </c>
      <c r="FB79" s="1" t="b">
        <v>1</v>
      </c>
      <c r="FC79" s="1" t="b" cm="1">
        <f t="array" ref="FC79">DeathTraded(EZ79,$O$6,DV15,$O$2,DV31,$O$3,DV47,$O$4,DV63,$O$5,DV79,$O$6,$R$2)</f>
        <v>0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b" cm="1">
        <f t="array" ref="GF79">IF($V$2=TRUE,IF(CH33="Attack",ConvertToRoundTime(secandmin(CA33),secandmin(CJ33),CB33),""),"NO DATA")</f>
        <v>0</v>
      </c>
      <c r="GG79" s="1" t="b" cm="1">
        <f t="array" ref="GG79">IF($V$2=TRUE,IF(CH33="Attack",ConvertToRoundTime(secandmin(CC33),secandmin(CJ33),CD33),""),"NO DATA")</f>
        <v>0</v>
      </c>
    </row>
    <row r="80" spans="120:189" x14ac:dyDescent="0.25">
      <c r="DP80" s="37"/>
      <c r="DQ80" s="49" t="str">
        <f ca="1">A2</f>
        <v>8_22 Clubhouse_1</v>
      </c>
      <c r="DR80" s="4">
        <v>10</v>
      </c>
      <c r="DS80" s="1" t="str">
        <v>Attack</v>
      </c>
      <c r="DT80" s="1" t="str">
        <f t="shared" si="50"/>
        <v>Aggro</v>
      </c>
      <c r="DU80" s="1" t="str">
        <v>Lion</v>
      </c>
      <c r="DV80" s="21" cm="1">
        <f t="array" ref="DV80">ConvertToRoundTime(secandmin(BI16),secandmin(CJ34),BJ16)</f>
        <v>82</v>
      </c>
      <c r="DW80" s="1" t="str">
        <v>Rye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0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0</v>
      </c>
      <c r="EF80" s="1">
        <f t="shared" si="51"/>
        <v>0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0</v>
      </c>
      <c r="EJ80" s="1" t="b">
        <f t="shared" si="53"/>
        <v>0</v>
      </c>
      <c r="EK80" s="4">
        <v>10</v>
      </c>
      <c r="EL80" s="1" t="b">
        <v>0</v>
      </c>
      <c r="EM80" s="1" t="b" cm="1">
        <f t="array" ref="EM80">IF(NOT(ISBLANK(CP34)),KOST(EE80,DY80,DV80,EL80),"NOT PLAYED")</f>
        <v>0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NOLOC</v>
      </c>
      <c r="EQ80" s="1" t="b">
        <v>0</v>
      </c>
      <c r="ER80" s="1" t="b">
        <v>0</v>
      </c>
      <c r="ES80" s="1" t="b">
        <v>0</v>
      </c>
      <c r="ET80" s="1" t="b">
        <v>0</v>
      </c>
      <c r="EU80" s="1" t="b">
        <v>0</v>
      </c>
      <c r="EV80" s="1" t="str" cm="1">
        <f t="array" ref="EV80">DeathTraded(ES80,$O$6,DV16,$O$2,DV32,$O$3,DV48,$O$4,DV64,$O$5,DV80,$O$6,$R$2)</f>
        <v>N/A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NOLOC</v>
      </c>
      <c r="FL80" s="1" t="b">
        <v>0</v>
      </c>
      <c r="FM80" s="1" t="b">
        <v>0</v>
      </c>
      <c r="FN80" s="1" t="b">
        <v>0</v>
      </c>
      <c r="FO80" s="1" t="b">
        <v>0</v>
      </c>
      <c r="FP80" s="1" t="b">
        <v>0</v>
      </c>
      <c r="FQ80" s="1" t="str" cm="1">
        <f t="array" ref="FQ80">DeathTraded(FN80,$O$6,DV16,$O$2,DV32,$O$3,DV48,$O$4,DV64,$O$5,DV80,$O$6,$R$2)</f>
        <v>N/A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b" cm="1">
        <f t="array" ref="GF80">IF($V$2=TRUE,IF(CH34="Attack",ConvertToRoundTime(secandmin(CA34),secandmin(CJ34),CB34),""),"NO DATA")</f>
        <v>0</v>
      </c>
      <c r="GG80" s="1" t="b" cm="1">
        <f t="array" ref="GG80">IF($V$2=TRUE,IF(CH34="Attack",ConvertToRoundTime(secandmin(CC34),secandmin(CJ34),CD34),""),"NO DATA")</f>
        <v>0</v>
      </c>
    </row>
    <row r="81" spans="1:189" x14ac:dyDescent="0.25">
      <c r="DP81" s="37"/>
      <c r="DQ81" s="49" t="str">
        <f ca="1">A2</f>
        <v>8_22 Clubhouse_1</v>
      </c>
      <c r="DR81" s="5">
        <v>11</v>
      </c>
      <c r="DS81" s="1" t="str">
        <v>Attack</v>
      </c>
      <c r="DT81" s="1" t="str">
        <f t="shared" si="50"/>
        <v>Aggro</v>
      </c>
      <c r="DU81" s="1" t="str">
        <v>Nomad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1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UNKNOWN</v>
      </c>
      <c r="FS81" s="1" t="b">
        <v>0</v>
      </c>
      <c r="FT81" s="1" t="str">
        <v>Hox</v>
      </c>
      <c r="FU81" s="1">
        <v>96</v>
      </c>
      <c r="FV81" s="1" t="b">
        <v>0</v>
      </c>
      <c r="FW81" s="1" t="b">
        <v>0</v>
      </c>
      <c r="FX81" s="1" t="b" cm="1">
        <f t="array" ref="FX81">DeathTraded(FU81,$O$6,DV17,$O$2,DV33,$O$3,DV49,$O$4,DV65,$O$5,DV81,$O$6,$R$2)</f>
        <v>0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b" cm="1">
        <f t="array" ref="GF81">IF($V$2=TRUE,IF(CH35="Attack",ConvertToRoundTime(secandmin(CA35),secandmin(CJ35),CB35),""),"NO DATA")</f>
        <v>0</v>
      </c>
      <c r="GG81" s="1" t="b" cm="1">
        <f t="array" ref="GG81">IF($V$2=TRUE,IF(CH35="Attack",ConvertToRoundTime(secandmin(CC35),secandmin(CJ35),CD35),""),"NO DATA")</f>
        <v>0</v>
      </c>
    </row>
    <row r="82" spans="1:189" x14ac:dyDescent="0.25">
      <c r="DP82" s="37"/>
      <c r="DQ82" s="49" t="str">
        <f ca="1">A2</f>
        <v>8_22 Clubhouse_1</v>
      </c>
      <c r="DR82" s="4">
        <v>12</v>
      </c>
      <c r="DS82" s="1" t="str">
        <v>Attack</v>
      </c>
      <c r="DT82" s="1" t="str">
        <f t="shared" si="50"/>
        <v>Aggro</v>
      </c>
      <c r="DU82" s="1" t="str">
        <v>Lion</v>
      </c>
      <c r="DV82" s="21" cm="1">
        <f t="array" ref="DV82">ConvertToRoundTime(secandmin(BI18),secandmin(CJ36),BJ18)</f>
        <v>148</v>
      </c>
      <c r="DW82" s="1" t="str">
        <v>Lakqi</v>
      </c>
      <c r="DX82" s="1" t="b" cm="1">
        <f t="array" ref="DX82">DeathRefragged(DV82,MAX(ES18,ES34,ES50,ES66,ES82,FA99),MAX(EZ18,EZ34,EZ50,EZ66,EZ82,FI99),MAX(FG18,FG34,FG50,FG66,FG82,FP99),MAX(FN18,FN34,FN50,FN66,FN82,FW99),MAX(FU18,FU34,FU50,FU66,FU82,GD99),$Q$2)</f>
        <v>1</v>
      </c>
      <c r="DY82" s="1" t="b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1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1</v>
      </c>
      <c r="EF82" s="1">
        <f t="shared" si="51"/>
        <v>1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b" cm="1">
        <f t="array" ref="EM82">IF(NOT(ISBLANK(CP36)),KOST(EE82,DY82,DV82,EL82),"NOT PLAYED")</f>
        <v>1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UNKNOWN</v>
      </c>
      <c r="EX82" s="1" t="b">
        <v>0</v>
      </c>
      <c r="EY82" s="1" t="str">
        <v>Saryz</v>
      </c>
      <c r="EZ82" s="1">
        <v>142</v>
      </c>
      <c r="FA82" s="1" t="b">
        <v>0</v>
      </c>
      <c r="FB82" s="1" t="b">
        <v>1</v>
      </c>
      <c r="FC82" s="1" t="b" cm="1">
        <f t="array" ref="FC82">DeathTraded(EZ82,$O$6,DV18,$O$2,DV34,$O$3,DV50,$O$4,DV66,$O$5,DV82,$O$6,$R$2)</f>
        <v>1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b" cm="1">
        <f t="array" ref="GF82">IF($V$2=TRUE,IF(CH36="Attack",ConvertToRoundTime(secandmin(CA36),secandmin(CJ36),CB36),""),"NO DATA")</f>
        <v>0</v>
      </c>
      <c r="GG82" s="1" t="b" cm="1">
        <f t="array" ref="GG82">IF($V$2=TRUE,IF(CH36="Attack",ConvertToRoundTime(secandmin(CC36),secandmin(CJ36),CD36),""),"NO DATA")</f>
        <v>0</v>
      </c>
    </row>
    <row r="83" spans="1:189" x14ac:dyDescent="0.25">
      <c r="DP83" s="37"/>
      <c r="DQ83" s="49" t="str">
        <f ca="1">A2</f>
        <v>8_22 Clubhouse_1</v>
      </c>
      <c r="DR83" s="5">
        <v>13</v>
      </c>
      <c r="DS83" s="1" t="str">
        <v>Attack</v>
      </c>
      <c r="DT83" s="1" t="str">
        <f t="shared" si="50"/>
        <v>Aggro</v>
      </c>
      <c r="DU83" s="1" t="str">
        <v>Nomad</v>
      </c>
      <c r="DV83" s="21" cm="1">
        <f t="array" ref="DV83">ConvertToRoundTime(secandmin(BI19),secandmin(CJ37),BJ19)</f>
        <v>89</v>
      </c>
      <c r="DW83" s="1" t="str">
        <v>Hox</v>
      </c>
      <c r="DX83" s="1" t="b" cm="1">
        <f t="array" ref="DX83">DeathRefragged(DV83,MAX(ES19,ES35,ES51,ES67,ES83,FA100),MAX(EZ19,EZ35,EZ51,EZ67,EZ83,FI100),MAX(FG19,FG35,FG51,FG67,FG83,FP100),MAX(FN19,FN35,FN51,FN67,FN83,FW100),MAX(FU19,FU35,FU51,FU67,FU83,GD100),$Q$2)</f>
        <v>1</v>
      </c>
      <c r="DY83" s="1" t="b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1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b" cm="1">
        <f t="array" ref="EM83">IF(NOT(ISBLANK(CP37)),KOST(EE83,DY83,DV83,EL83),"NOT PLAYED")</f>
        <v>1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b" cm="1">
        <f t="array" ref="GF83">IF($V$2=TRUE,IF(CH37="Attack",ConvertToRoundTime(secandmin(CA37),secandmin(CJ37),CB37),""),"NO DATA")</f>
        <v>0</v>
      </c>
      <c r="GG83" s="1" t="b" cm="1">
        <f t="array" ref="GG83">IF($V$2=TRUE,IF(CH37="Attack",ConvertToRoundTime(secandmin(CC37),secandmin(CJ37),CD37),""),"NO DATA")</f>
        <v>0</v>
      </c>
    </row>
    <row r="84" spans="1:189" x14ac:dyDescent="0.25">
      <c r="DP84" s="37"/>
      <c r="DQ84" s="49" t="str">
        <f ca="1">A2</f>
        <v>8_22 Clubhouse_1</v>
      </c>
      <c r="DR84" s="4">
        <v>14</v>
      </c>
      <c r="DS84" s="1" t="str">
        <v>Defense</v>
      </c>
      <c r="DT84" s="1" t="str">
        <f t="shared" si="50"/>
        <v>Aggro</v>
      </c>
      <c r="DU84" s="1" t="str">
        <v>Pulse</v>
      </c>
      <c r="DV84" s="21" cm="1">
        <f t="array" ref="DV84">ConvertToRoundTime(secandmin(BI20),secandmin(CJ38),BJ20)</f>
        <v>111</v>
      </c>
      <c r="DW84" s="1" t="str">
        <v>Hipperz</v>
      </c>
      <c r="DX84" s="1" t="b" cm="1">
        <f t="array" ref="DX84">DeathRefragged(DV84,MAX(ES20,ES36,ES52,ES68,ES84,FA101),MAX(EZ20,EZ36,EZ52,EZ68,EZ84,FI101),MAX(FG20,FG36,FG52,FG68,FG84,FP101),MAX(FN20,FN36,FN52,FN68,FN84,FW101),MAX(FU20,FU36,FU52,FU68,FU84,GD101),$Q$2)</f>
        <v>0</v>
      </c>
      <c r="DY84" s="1" t="b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0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1</v>
      </c>
      <c r="EC84" s="1" t="b" cm="1">
        <f t="array" ref="EC84">EntryDeath(DV84,DV68,DV52,DV36,DV20)</f>
        <v>1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b" cm="1">
        <f t="array" ref="EM84">IF(NOT(ISBLANK(CP38)),KOST(EE84,DY84,DV84,EL84),"NOT PLAYED")</f>
        <v>0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9" t="str">
        <f ca="1">A2</f>
        <v>8_22 Clubhouse_1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6" t="s">
        <v>311</v>
      </c>
      <c r="FB87" s="55" t="s">
        <v>312</v>
      </c>
      <c r="FC87" s="13" t="s">
        <v>41</v>
      </c>
      <c r="FD87" s="13" t="s">
        <v>338</v>
      </c>
      <c r="FE87" s="13" t="s">
        <v>339</v>
      </c>
      <c r="FF87" s="51" t="s">
        <v>61</v>
      </c>
      <c r="FG87" s="50" t="s">
        <v>340</v>
      </c>
      <c r="FH87" s="50" t="s">
        <v>313</v>
      </c>
      <c r="FI87" s="51" t="s">
        <v>314</v>
      </c>
      <c r="FJ87" s="21" t="s">
        <v>41</v>
      </c>
      <c r="FK87" s="21" t="s">
        <v>338</v>
      </c>
      <c r="FL87" s="21" t="s">
        <v>339</v>
      </c>
      <c r="FM87" s="55" t="s">
        <v>63</v>
      </c>
      <c r="FN87" s="56" t="s">
        <v>340</v>
      </c>
      <c r="FO87" s="56" t="s">
        <v>315</v>
      </c>
      <c r="FP87" s="55" t="s">
        <v>316</v>
      </c>
      <c r="FQ87" s="13" t="s">
        <v>41</v>
      </c>
      <c r="FR87" s="13" t="s">
        <v>338</v>
      </c>
      <c r="FS87" s="13" t="s">
        <v>339</v>
      </c>
      <c r="FT87" s="51" t="s">
        <v>64</v>
      </c>
      <c r="FU87" s="50" t="s">
        <v>340</v>
      </c>
      <c r="FV87" s="50" t="s">
        <v>317</v>
      </c>
      <c r="FW87" s="51" t="s">
        <v>318</v>
      </c>
      <c r="FX87" s="21" t="s">
        <v>41</v>
      </c>
      <c r="FY87" s="21" t="s">
        <v>338</v>
      </c>
      <c r="FZ87" s="21" t="s">
        <v>339</v>
      </c>
      <c r="GA87" s="55" t="s">
        <v>65</v>
      </c>
      <c r="GB87" s="56" t="s">
        <v>340</v>
      </c>
      <c r="GC87" s="56" t="s">
        <v>319</v>
      </c>
      <c r="GD87" s="55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8_22 Clubhouse_1</v>
      </c>
      <c r="DR88" s="5">
        <v>1</v>
      </c>
      <c r="DS88" s="21" t="str" cm="1">
        <f t="array" ref="DS88:DS102">IF(ISBLANK(AC25:AC39),"",AC25:AC39)</f>
        <v/>
      </c>
      <c r="DT88" s="21" cm="1">
        <f t="array" ref="DT88:DT102">IF(ISBLANK(AI25:AI39),"",AI25:AI39)</f>
        <v>1</v>
      </c>
      <c r="DU88" s="21" cm="1">
        <f t="array" ref="DU88:DU102">IF(ISBLANK(AJ25:AJ39),"",AJ25:AJ39)</f>
        <v>4</v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175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Defense</v>
      </c>
      <c r="EB88" s="21" cm="1">
        <f t="array" ref="EB88">ConvertToRoundTime(secandmin(CK25),secandmin(CJ25),NOT(ISBLANK(CJ25)))</f>
        <v>175</v>
      </c>
      <c r="EC88" s="47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AviationGames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Clubhouse_1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8_22 Clubhouse_1</v>
      </c>
      <c r="DR89" s="4">
        <v>2</v>
      </c>
      <c r="DS89" s="21" t="str">
        <v/>
      </c>
      <c r="DT89" s="21">
        <v>0</v>
      </c>
      <c r="DU89" s="21">
        <v>5</v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0</v>
      </c>
      <c r="DW89" s="21" t="b">
        <f t="shared" si="60"/>
        <v>0</v>
      </c>
      <c r="DX89" s="21" cm="1">
        <f t="array" ref="DX89">ConvertToRoundTime(secandmin(CK26),secandmin(CJ26),NOT(ISBLANK(CJ26)))</f>
        <v>84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Defense</v>
      </c>
      <c r="EB89" s="21" cm="1">
        <f t="array" ref="EB89">ConvertToRoundTime(secandmin(CK26),secandmin(CJ26),NOT(ISBLANK(CJ26)))</f>
        <v>84</v>
      </c>
      <c r="EC89" s="47" cm="1">
        <f t="array" ref="EC89">IF(ISERROR(180-secandmin(CJ26)),FALSE,180-secandmin(CJ26))</f>
        <v>81</v>
      </c>
      <c r="ED89" s="21" t="str">
        <v>Unspecified</v>
      </c>
      <c r="EE89" s="21" t="str">
        <v>TrophyStatuary</v>
      </c>
      <c r="EF89" s="21" t="str">
        <v>Lost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Clubhouse_1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8_22 Clubhouse_1</v>
      </c>
      <c r="DR90" s="5">
        <v>3</v>
      </c>
      <c r="DS90" s="21" t="str">
        <v/>
      </c>
      <c r="DT90" s="21">
        <v>3</v>
      </c>
      <c r="DU90" s="21">
        <v>5</v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1</v>
      </c>
      <c r="DW90" s="21" t="b">
        <f t="shared" si="60"/>
        <v>0</v>
      </c>
      <c r="DX90" s="21" cm="1">
        <f t="array" ref="DX90">ConvertToRoundTime(secandmin(CK27),secandmin(CJ27),NOT(ISBLANK(CJ27)))</f>
        <v>130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Defense</v>
      </c>
      <c r="EB90" s="21" cm="1">
        <f t="array" ref="EB90">ConvertToRoundTime(secandmin(CK27),secandmin(CJ27),NOT(ISBLANK(CJ27)))</f>
        <v>130</v>
      </c>
      <c r="EC90" s="47" t="b" cm="1">
        <f t="array" ref="EC90">IF(ISERROR(180-secandmin(CJ27)),FALSE,180-secandmin(CJ27))</f>
        <v>0</v>
      </c>
      <c r="ED90" s="21" t="str">
        <v>Unspecified</v>
      </c>
      <c r="EE90" s="21" t="str">
        <v>DiningKitchen</v>
      </c>
      <c r="EF90" s="21" t="str">
        <v>Won</v>
      </c>
      <c r="EG90" s="1"/>
      <c r="EH90" s="23"/>
      <c r="EV90" s="1" t="b">
        <f t="shared" si="62"/>
        <v>1</v>
      </c>
      <c r="EW90" s="1" t="str">
        <f t="shared" ref="EW90:EW102" ca="1" si="63">$A$2</f>
        <v>8_22 Clubhouse_1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8_22 Clubhouse_1</v>
      </c>
      <c r="DR91" s="4">
        <v>4</v>
      </c>
      <c r="DS91" s="21" t="str">
        <v/>
      </c>
      <c r="DT91" s="21">
        <v>2</v>
      </c>
      <c r="DU91" s="21">
        <v>5</v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1</v>
      </c>
      <c r="DW91" s="21" t="b">
        <f t="shared" si="60"/>
        <v>0</v>
      </c>
      <c r="DX91" s="21" cm="1">
        <f t="array" ref="DX91">ConvertToRoundTime(secandmin(CK28),secandmin(CJ28),NOT(ISBLANK(CJ28)))</f>
        <v>180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Defense</v>
      </c>
      <c r="EB91" s="21" cm="1">
        <f t="array" ref="EB91">ConvertToRoundTime(secandmin(CK28),secandmin(CJ28),NOT(ISBLANK(CJ28)))</f>
        <v>180</v>
      </c>
      <c r="EC91" s="47" t="b" cm="1">
        <f t="array" ref="EC91">IF(ISERROR(180-secandmin(CJ28)),FALSE,180-secandmin(CJ28))</f>
        <v>0</v>
      </c>
      <c r="ED91" s="21" t="str">
        <v>Unspecified</v>
      </c>
      <c r="EE91" s="21" t="str">
        <v>AviationGames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Clubhouse_1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8_22 Clubhouse_1</v>
      </c>
      <c r="DR92" s="5">
        <v>5</v>
      </c>
      <c r="DS92" s="21" t="str">
        <v/>
      </c>
      <c r="DT92" s="21">
        <v>0</v>
      </c>
      <c r="DU92" s="21">
        <v>6</v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177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Defense</v>
      </c>
      <c r="EB92" s="21" cm="1">
        <f t="array" ref="EB92">ConvertToRoundTime(secandmin(CK29),secandmin(CJ29),NOT(ISBLANK(CJ29)))</f>
        <v>177</v>
      </c>
      <c r="EC92" s="47" t="b" cm="1">
        <f t="array" ref="EC92">IF(ISERROR(180-secandmin(CJ29)),FALSE,180-secandmin(CJ29))</f>
        <v>0</v>
      </c>
      <c r="ED92" s="21" t="str">
        <v>Unspecified</v>
      </c>
      <c r="EE92" s="21" t="str">
        <v>TrophyStatuary</v>
      </c>
      <c r="EF92" s="21" t="str">
        <v>Won</v>
      </c>
      <c r="EG92" s="1"/>
      <c r="EH92" s="23"/>
      <c r="EV92" s="1" t="b">
        <f t="shared" si="62"/>
        <v>1</v>
      </c>
      <c r="EW92" s="1" t="str">
        <f t="shared" ca="1" si="63"/>
        <v>8_22 Clubhouse_1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8_22 Clubhouse_1</v>
      </c>
      <c r="DR93" s="4">
        <v>6</v>
      </c>
      <c r="DS93" s="21" t="str">
        <v/>
      </c>
      <c r="DT93" s="21">
        <v>2</v>
      </c>
      <c r="DU93" s="21">
        <v>4</v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165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Defense</v>
      </c>
      <c r="EB93" s="21" cm="1">
        <f t="array" ref="EB93">ConvertToRoundTime(secandmin(CK30),secandmin(CJ30),NOT(ISBLANK(CJ30)))</f>
        <v>165</v>
      </c>
      <c r="EC93" s="47" t="b" cm="1">
        <f t="array" ref="EC93">IF(ISERROR(180-secandmin(CJ30)),FALSE,180-secandmin(CJ30))</f>
        <v>0</v>
      </c>
      <c r="ED93" s="21" t="str">
        <v>Unspecified</v>
      </c>
      <c r="EE93" s="21" t="str">
        <v>DiningKitchen</v>
      </c>
      <c r="EF93" s="21" t="str">
        <v>Won</v>
      </c>
      <c r="EG93" s="1"/>
      <c r="EH93" s="23"/>
      <c r="EV93" s="1" t="b">
        <f t="shared" si="62"/>
        <v>1</v>
      </c>
      <c r="EW93" s="1" t="str">
        <f t="shared" ca="1" si="63"/>
        <v>8_22 Clubhouse_1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8_22 Clubhouse_1</v>
      </c>
      <c r="DR94" s="5">
        <v>7</v>
      </c>
      <c r="DS94" s="21">
        <v>2</v>
      </c>
      <c r="DT94" s="21" t="str">
        <v/>
      </c>
      <c r="DU94" s="21" t="str">
        <v/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172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0</v>
      </c>
      <c r="EA94" s="21" t="str">
        <v>Attack</v>
      </c>
      <c r="EB94" s="21" cm="1">
        <f t="array" ref="EB94">ConvertToRoundTime(secandmin(CK31),secandmin(CJ31),NOT(ISBLANK(CJ31)))</f>
        <v>172</v>
      </c>
      <c r="EC94" s="47" t="b" cm="1">
        <f t="array" ref="EC94">IF(ISERROR(180-secandmin(CJ31)),FALSE,180-secandmin(CJ31))</f>
        <v>0</v>
      </c>
      <c r="ED94" s="21" t="str">
        <v>Unspecified</v>
      </c>
      <c r="EE94" s="21" t="str">
        <v>AviationGames</v>
      </c>
      <c r="EF94" s="21" t="str">
        <v>Lost</v>
      </c>
      <c r="EG94" s="1"/>
      <c r="EH94" s="23"/>
      <c r="EV94" s="1" t="b">
        <f>IF(NOT(DY94="NP"),TRUE,FALSE)</f>
        <v>1</v>
      </c>
      <c r="EW94" s="1" t="str">
        <f t="shared" ca="1" si="63"/>
        <v>8_22 Clubhouse_1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61" t="s">
        <v>210</v>
      </c>
      <c r="B95" s="61"/>
      <c r="C95" s="61"/>
      <c r="D95" s="61"/>
      <c r="DP95" s="23"/>
      <c r="DQ95" s="21" t="str">
        <f ca="1">A2</f>
        <v>8_22 Clubhouse_1</v>
      </c>
      <c r="DR95" s="4">
        <v>8</v>
      </c>
      <c r="DS95" s="21">
        <v>1</v>
      </c>
      <c r="DT95" s="21" t="str">
        <v/>
      </c>
      <c r="DU95" s="21" t="str">
        <v/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0</v>
      </c>
      <c r="DW95" s="21" t="b">
        <f t="shared" si="60"/>
        <v>0</v>
      </c>
      <c r="DX95" s="21" cm="1">
        <f t="array" ref="DX95">ConvertToRoundTime(secandmin(CK32),secandmin(CJ32),NOT(ISBLANK(CJ32)))</f>
        <v>87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Attack</v>
      </c>
      <c r="EB95" s="21" cm="1">
        <f t="array" ref="EB95">ConvertToRoundTime(secandmin(CK32),secandmin(CJ32),NOT(ISBLANK(CJ32)))</f>
        <v>87</v>
      </c>
      <c r="EC95" s="47" t="b" cm="1">
        <f t="array" ref="EC95">IF(ISERROR(180-secandmin(CJ32)),FALSE,180-secandmin(CJ32))</f>
        <v>0</v>
      </c>
      <c r="ED95" s="21" t="str">
        <v>Unspecified</v>
      </c>
      <c r="EE95" s="21" t="str">
        <v>TrophyStatuary</v>
      </c>
      <c r="EF95" s="21" t="str">
        <v>Lost</v>
      </c>
      <c r="EG95" s="1"/>
      <c r="EH95" s="23"/>
      <c r="EV95" s="1" t="b">
        <f t="shared" si="62"/>
        <v>1</v>
      </c>
      <c r="EW95" s="1" t="str">
        <f t="shared" ca="1" si="63"/>
        <v>8_22 Clubhouse_1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61"/>
      <c r="B96" s="61"/>
      <c r="C96" s="61"/>
      <c r="D96" s="61"/>
      <c r="DP96" s="23"/>
      <c r="DQ96" s="21" t="str">
        <f ca="1">A2</f>
        <v>8_22 Clubhouse_1</v>
      </c>
      <c r="DR96" s="5">
        <v>9</v>
      </c>
      <c r="DS96" s="21">
        <v>1</v>
      </c>
      <c r="DT96" s="21" t="str">
        <v/>
      </c>
      <c r="DU96" s="21" t="str">
        <v/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1</v>
      </c>
      <c r="DW96" s="21" t="b">
        <f t="shared" si="60"/>
        <v>0</v>
      </c>
      <c r="DX96" s="21" cm="1">
        <f t="array" ref="DX96">ConvertToRoundTime(secandmin(CK33),secandmin(CJ33),NOT(ISBLANK(CJ33)))</f>
        <v>180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Attack</v>
      </c>
      <c r="EB96" s="21" cm="1">
        <f t="array" ref="EB96">ConvertToRoundTime(secandmin(CK33),secandmin(CJ33),NOT(ISBLANK(CJ33)))</f>
        <v>180</v>
      </c>
      <c r="EC96" s="47" t="b" cm="1">
        <f t="array" ref="EC96">IF(ISERROR(180-secandmin(CJ33)),FALSE,180-secandmin(CJ33))</f>
        <v>0</v>
      </c>
      <c r="ED96" s="21" t="str">
        <v>Unspecified</v>
      </c>
      <c r="EE96" s="21" t="str">
        <v>DiningKitchen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Clubhouse_1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Clubhouse_1</v>
      </c>
      <c r="DR97" s="4">
        <v>10</v>
      </c>
      <c r="DS97" s="21">
        <v>1</v>
      </c>
      <c r="DT97" s="21" t="str">
        <v/>
      </c>
      <c r="DU97" s="21" t="str">
        <v/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152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Attack</v>
      </c>
      <c r="EB97" s="21" cm="1">
        <f t="array" ref="EB97">ConvertToRoundTime(secandmin(CK34),secandmin(CJ34),NOT(ISBLANK(CJ34)))</f>
        <v>152</v>
      </c>
      <c r="EC97" s="47" t="b" cm="1">
        <f t="array" ref="EC97">IF(ISERROR(180-secandmin(CJ34)),FALSE,180-secandmin(CJ34))</f>
        <v>0</v>
      </c>
      <c r="ED97" s="21" t="str">
        <v>Unspecified</v>
      </c>
      <c r="EE97" s="21" t="str">
        <v>AviationGames</v>
      </c>
      <c r="EF97" s="21" t="str">
        <v>Lost</v>
      </c>
      <c r="EG97" s="1"/>
      <c r="EH97" s="23"/>
      <c r="EV97" s="1" t="b">
        <f t="shared" si="62"/>
        <v>1</v>
      </c>
      <c r="EW97" s="1" t="str">
        <f t="shared" ca="1" si="63"/>
        <v>8_22 Clubhouse_1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AviationGames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Clubhouse_1</v>
      </c>
      <c r="DR98" s="5">
        <v>11</v>
      </c>
      <c r="DS98" s="21">
        <v>0</v>
      </c>
      <c r="DT98" s="21" t="str">
        <v/>
      </c>
      <c r="DU98" s="21" t="str">
        <v/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96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Attack</v>
      </c>
      <c r="EB98" s="21" cm="1">
        <f t="array" ref="EB98">ConvertToRoundTime(secandmin(CK35),secandmin(CJ35),NOT(ISBLANK(CJ35)))</f>
        <v>96</v>
      </c>
      <c r="EC98" s="47" t="b" cm="1">
        <f t="array" ref="EC98">IF(ISERROR(180-secandmin(CJ35)),FALSE,180-secandmin(CJ35))</f>
        <v>0</v>
      </c>
      <c r="ED98" s="21" t="str">
        <v>Unspecified</v>
      </c>
      <c r="EE98" s="21" t="str">
        <v>TrophyStatuary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Clubhouse_1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TrophyStatuary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Clubhouse_1</v>
      </c>
      <c r="DR99" s="4">
        <v>12</v>
      </c>
      <c r="DS99" s="21">
        <v>0</v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1</v>
      </c>
      <c r="DW99" s="21" t="b">
        <f t="shared" si="60"/>
        <v>0</v>
      </c>
      <c r="DX99" s="21" cm="1">
        <f t="array" ref="DX99">ConvertToRoundTime(secandmin(CK36),secandmin(CJ36),NOT(ISBLANK(CJ36)))</f>
        <v>179</v>
      </c>
      <c r="DY99" s="13" t="b" cm="1">
        <f t="array" ref="DY99">FiveVThreeThrown(MAX(ES18,ES34,ES50,ES66,ES82,FA99),MAX(EZ18,EZ34,EZ50,EZ66,EZ82,FI99),DV18,DV34,DV50,DV66,DV82,EF99)</f>
        <v>0</v>
      </c>
      <c r="DZ99" s="1" t="b">
        <f t="shared" si="61"/>
        <v>0</v>
      </c>
      <c r="EA99" s="21" t="str">
        <v>Attack</v>
      </c>
      <c r="EB99" s="21" cm="1">
        <f t="array" ref="EB99">ConvertToRoundTime(secandmin(CK36),secandmin(CJ36),NOT(ISBLANK(CJ36)))</f>
        <v>179</v>
      </c>
      <c r="EC99" s="47" t="b" cm="1">
        <f t="array" ref="EC99">IF(ISERROR(180-secandmin(CJ36)),FALSE,180-secandmin(CJ36))</f>
        <v>0</v>
      </c>
      <c r="ED99" s="21" t="str">
        <v>Unspecified</v>
      </c>
      <c r="EE99" s="21" t="str">
        <v>TrophyStatuary</v>
      </c>
      <c r="EF99" s="21" t="str">
        <v>Lost</v>
      </c>
      <c r="EG99" s="1"/>
      <c r="EH99" s="23"/>
      <c r="EV99" s="1" t="b">
        <f t="shared" si="62"/>
        <v>1</v>
      </c>
      <c r="EW99" s="1" t="str">
        <f t="shared" ca="1" si="63"/>
        <v>8_22 Clubhouse_1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LivingLibrary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Clubhouse_1</v>
      </c>
      <c r="DR100" s="5">
        <v>13</v>
      </c>
      <c r="DS100" s="21">
        <v>1</v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1</v>
      </c>
      <c r="DX100" s="21" cm="1">
        <f t="array" ref="DX100">ConvertToRoundTime(secandmin(CK37),secandmin(CJ37),NOT(ISBLANK(CJ37)))</f>
        <v>186</v>
      </c>
      <c r="DY100" s="13" t="b" cm="1">
        <f t="array" ref="DY100">FiveVThreeThrown(MAX(ES19,ES35,ES51,ES67,ES83,FA100),MAX(EZ19,EZ35,EZ51,EZ67,EZ83,FI100),DV19,DV35,DV51,DV67,DV83,EF100)</f>
        <v>0</v>
      </c>
      <c r="DZ100" s="1" t="b">
        <f t="shared" si="61"/>
        <v>1</v>
      </c>
      <c r="EA100" s="21" t="str">
        <v>Attack</v>
      </c>
      <c r="EB100" s="21" cm="1">
        <f t="array" ref="EB100">ConvertToRoundTime(secandmin(CK37),secandmin(CJ37),NOT(ISBLANK(CJ37)))</f>
        <v>186</v>
      </c>
      <c r="EC100" s="47" cm="1">
        <f t="array" ref="EC100">IF(ISERROR(180-secandmin(CJ37)),FALSE,180-secandmin(CJ37))</f>
        <v>175</v>
      </c>
      <c r="ED100" s="21" t="str">
        <v>Unspecified</v>
      </c>
      <c r="EE100" s="21" t="str">
        <v>AviationGames</v>
      </c>
      <c r="EF100" s="21" t="str">
        <v>Won</v>
      </c>
      <c r="EG100" s="1"/>
      <c r="EH100" s="23"/>
      <c r="EV100" s="1" t="b">
        <f t="shared" si="62"/>
        <v>1</v>
      </c>
      <c r="EW100" s="1" t="str">
        <f t="shared" ca="1" si="63"/>
        <v>8_22 Clubhouse_1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DiningKitchen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Clubhouse_1</v>
      </c>
      <c r="DR101" s="4">
        <v>14</v>
      </c>
      <c r="DS101" s="21" t="str">
        <v/>
      </c>
      <c r="DT101" s="21">
        <v>2</v>
      </c>
      <c r="DU101" s="21">
        <v>7</v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cm="1">
        <f t="array" ref="DX101">ConvertToRoundTime(secandmin(CK38),secandmin(CJ38),NOT(ISBLANK(CJ38)))</f>
        <v>158</v>
      </c>
      <c r="DY101" s="13" t="b" cm="1">
        <f t="array" ref="DY101">FiveVThreeThrown(MAX(ES20,ES36,ES52,ES68,ES84,FA101),MAX(EZ20,EZ36,EZ52,EZ68,EZ84,FI101),DV20,DV36,DV52,DV68,DV84,EF101)</f>
        <v>0</v>
      </c>
      <c r="DZ101" s="1" t="b">
        <f t="shared" si="61"/>
        <v>0</v>
      </c>
      <c r="EA101" s="21" t="str">
        <v>Defense</v>
      </c>
      <c r="EB101" s="21" cm="1">
        <f t="array" ref="EB101">ConvertToRoundTime(secandmin(CK38),secandmin(CJ38),NOT(ISBLANK(CJ38)))</f>
        <v>158</v>
      </c>
      <c r="EC101" s="47" t="b" cm="1">
        <f t="array" ref="EC101">IF(ISERROR(180-secandmin(CJ38)),FALSE,180-secandmin(CJ38))</f>
        <v>0</v>
      </c>
      <c r="ED101" s="21" t="str">
        <v>Unspecified</v>
      </c>
      <c r="EE101" s="21" t="str">
        <v>DiningKitchen</v>
      </c>
      <c r="EF101" s="21" t="str">
        <v>Won</v>
      </c>
      <c r="EG101" s="1"/>
      <c r="EH101" s="23"/>
      <c r="EV101" s="1" t="b">
        <f t="shared" si="62"/>
        <v>1</v>
      </c>
      <c r="EW101" s="1" t="str">
        <f t="shared" ca="1" si="63"/>
        <v>8_22 Clubhouse_1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3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Clubhouse_1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47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Clubhouse_1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61" t="s">
        <v>239</v>
      </c>
      <c r="C152" s="61"/>
      <c r="D152" s="61"/>
      <c r="E152" s="61"/>
      <c r="F152" t="s">
        <v>240</v>
      </c>
      <c r="G152" s="42"/>
    </row>
    <row r="153" spans="2:7" x14ac:dyDescent="0.25">
      <c r="B153" s="61"/>
      <c r="C153" s="61"/>
      <c r="D153" s="61"/>
      <c r="E153" s="61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8" t="s">
        <v>299</v>
      </c>
      <c r="J2" s="48" t="s">
        <v>306</v>
      </c>
    </row>
    <row r="4" spans="1:19" x14ac:dyDescent="0.25">
      <c r="B4" s="48" t="s">
        <v>0</v>
      </c>
      <c r="D4" s="48" t="s">
        <v>13</v>
      </c>
      <c r="F4" s="48" t="s">
        <v>14</v>
      </c>
      <c r="H4" s="48" t="s">
        <v>15</v>
      </c>
      <c r="J4" s="48" t="s">
        <v>16</v>
      </c>
      <c r="M4" s="62" t="s">
        <v>301</v>
      </c>
      <c r="N4" s="62"/>
      <c r="O4" s="62"/>
      <c r="Q4" s="63" t="s">
        <v>303</v>
      </c>
      <c r="R4" s="63"/>
      <c r="S4" s="63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62"/>
      <c r="N5" s="62"/>
      <c r="O5" s="62"/>
      <c r="Q5" s="63"/>
      <c r="R5" s="63"/>
      <c r="S5" s="63"/>
    </row>
    <row r="6" spans="1:19" x14ac:dyDescent="0.25">
      <c r="B6" s="49" t="s">
        <v>298</v>
      </c>
      <c r="D6" s="49" t="s">
        <v>298</v>
      </c>
      <c r="F6" s="49" t="s">
        <v>298</v>
      </c>
      <c r="H6" s="49" t="s">
        <v>298</v>
      </c>
      <c r="J6" s="49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62" t="s">
        <v>302</v>
      </c>
      <c r="N7" s="62"/>
      <c r="O7" s="62"/>
    </row>
    <row r="8" spans="1:19" x14ac:dyDescent="0.25">
      <c r="M8" s="62"/>
      <c r="N8" s="62"/>
      <c r="O8" s="62"/>
    </row>
    <row r="9" spans="1:19" x14ac:dyDescent="0.25">
      <c r="M9" s="62"/>
      <c r="N9" s="62"/>
      <c r="O9" s="62"/>
    </row>
    <row r="10" spans="1:19" x14ac:dyDescent="0.25">
      <c r="M10" s="62"/>
      <c r="N10" s="62"/>
      <c r="O10" s="62"/>
    </row>
    <row r="11" spans="1:19" x14ac:dyDescent="0.25">
      <c r="M11" s="62"/>
      <c r="N11" s="62"/>
      <c r="O11" s="62"/>
    </row>
    <row r="12" spans="1:19" x14ac:dyDescent="0.25">
      <c r="M12" s="62"/>
      <c r="N12" s="62"/>
      <c r="O12" s="62"/>
    </row>
    <row r="14" spans="1:19" x14ac:dyDescent="0.25">
      <c r="M14" s="62" t="s">
        <v>307</v>
      </c>
      <c r="N14" s="62"/>
      <c r="O14" s="62"/>
    </row>
    <row r="15" spans="1:19" x14ac:dyDescent="0.25">
      <c r="M15" s="62"/>
      <c r="N15" s="62"/>
      <c r="O15" s="62"/>
    </row>
    <row r="18" spans="13:15" x14ac:dyDescent="0.25">
      <c r="M18" s="62" t="s">
        <v>308</v>
      </c>
      <c r="N18" s="62"/>
      <c r="O18" s="62"/>
    </row>
    <row r="19" spans="13:15" x14ac:dyDescent="0.25">
      <c r="M19" s="62"/>
      <c r="N19" s="62"/>
      <c r="O19" s="62"/>
    </row>
    <row r="20" spans="13:15" x14ac:dyDescent="0.25">
      <c r="M20" s="62" t="s">
        <v>309</v>
      </c>
      <c r="N20" s="62"/>
      <c r="O20" s="62"/>
    </row>
    <row r="21" spans="13:15" x14ac:dyDescent="0.25">
      <c r="M21" s="62"/>
      <c r="N21" s="62"/>
      <c r="O21" s="62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'8_22 Clubhouse_1'!O2:O7</f>
        <v>Candle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'8_22 Clubhouse_1'!A2</f>
        <v>8_22 Clubhouse_1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A2" sqref="A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'8_22 Clubhouse_1'!A2:E2</f>
        <v>8_22 Clubhouse_1</v>
      </c>
      <c r="B2" t="str">
        <f ca="1"/>
        <v>DAL</v>
      </c>
      <c r="C2" t="str">
        <f ca="1"/>
        <v>Villa</v>
      </c>
      <c r="D2" t="str">
        <f ca="1"/>
        <v>Ultralight</v>
      </c>
      <c r="E2" s="58">
        <f ca="1"/>
        <v>44795</v>
      </c>
      <c r="F2" t="str" cm="1">
        <f t="array" ref="F2:J2">TRANSPOSE('8_22 Clubhouse_1'!O2:O6)</f>
        <v>Candle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Clubhouse_1'!L2:L6)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Clubhouse_1'!F2:I2</f>
        <v>Finka</v>
      </c>
      <c r="Q2" t="str">
        <v>Kaid</v>
      </c>
      <c r="R2" t="str">
        <v>Thatcher</v>
      </c>
      <c r="S2" t="str">
        <v>Valkyrie</v>
      </c>
      <c r="T2" t="b" cm="1">
        <f t="array" ref="T2:W2">('8_22 Clubhouse_1'!T2:W2)</f>
        <v>0</v>
      </c>
      <c r="U2" t="b">
        <v>1</v>
      </c>
      <c r="V2" t="b">
        <v>1</v>
      </c>
      <c r="W2" t="b">
        <v>0</v>
      </c>
    </row>
    <row r="7" spans="1:23" x14ac:dyDescent="0.25">
      <c r="E7" s="58"/>
    </row>
    <row r="16" spans="1:23" x14ac:dyDescent="0.25">
      <c r="F16" s="5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R15"/>
  <sheetViews>
    <sheetView workbookViewId="0">
      <selection activeCell="A3" sqref="A3"/>
    </sheetView>
  </sheetViews>
  <sheetFormatPr defaultRowHeight="15" x14ac:dyDescent="0.25"/>
  <sheetData>
    <row r="1" spans="1:18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  <c r="R1" s="54"/>
    </row>
    <row r="2" spans="1:18" x14ac:dyDescent="0.25">
      <c r="A2" t="str" cm="1">
        <f t="array" aca="1" ref="A2:Q15" ca="1">PullMatch(REF!A11)</f>
        <v>8_22 Clubhouse_1</v>
      </c>
      <c r="B2">
        <f ca="1"/>
        <v>1</v>
      </c>
      <c r="C2" t="str">
        <f ca="1"/>
        <v/>
      </c>
      <c r="D2">
        <f ca="1"/>
        <v>1</v>
      </c>
      <c r="E2">
        <f ca="1"/>
        <v>4</v>
      </c>
      <c r="F2" t="b">
        <f ca="1"/>
        <v>1</v>
      </c>
      <c r="G2" t="b">
        <f ca="1"/>
        <v>0</v>
      </c>
      <c r="H2">
        <f ca="1"/>
        <v>175</v>
      </c>
      <c r="I2" t="b">
        <f ca="1"/>
        <v>0</v>
      </c>
      <c r="J2" t="b">
        <f ca="1"/>
        <v>0</v>
      </c>
      <c r="K2" t="str">
        <f ca="1"/>
        <v>Defense</v>
      </c>
      <c r="L2">
        <f ca="1"/>
        <v>175</v>
      </c>
      <c r="M2" t="b">
        <f ca="1"/>
        <v>0</v>
      </c>
      <c r="N2" t="str">
        <f ca="1"/>
        <v>Unspecified</v>
      </c>
      <c r="O2" t="str">
        <f ca="1"/>
        <v>AviationGames</v>
      </c>
      <c r="P2" t="str">
        <f ca="1"/>
        <v>Won</v>
      </c>
      <c r="Q2">
        <f ca="1"/>
        <v>0</v>
      </c>
    </row>
    <row r="3" spans="1:18" x14ac:dyDescent="0.25">
      <c r="A3" t="str">
        <f ca="1"/>
        <v>8_22 Clubhouse_1</v>
      </c>
      <c r="B3">
        <f ca="1"/>
        <v>2</v>
      </c>
      <c r="C3" t="str">
        <f ca="1"/>
        <v/>
      </c>
      <c r="D3">
        <f ca="1"/>
        <v>0</v>
      </c>
      <c r="E3">
        <f ca="1"/>
        <v>5</v>
      </c>
      <c r="F3" t="b">
        <f ca="1"/>
        <v>0</v>
      </c>
      <c r="G3" t="b">
        <f ca="1"/>
        <v>0</v>
      </c>
      <c r="H3">
        <f ca="1"/>
        <v>84</v>
      </c>
      <c r="I3" t="b">
        <f ca="1"/>
        <v>0</v>
      </c>
      <c r="J3" t="b">
        <f ca="1"/>
        <v>0</v>
      </c>
      <c r="K3" t="str">
        <f ca="1"/>
        <v>Defense</v>
      </c>
      <c r="L3">
        <f ca="1"/>
        <v>84</v>
      </c>
      <c r="M3">
        <f ca="1"/>
        <v>81</v>
      </c>
      <c r="N3" t="str">
        <f ca="1"/>
        <v>Unspecified</v>
      </c>
      <c r="O3" t="str">
        <f ca="1"/>
        <v>TrophyStatuary</v>
      </c>
      <c r="P3" t="str">
        <f ca="1"/>
        <v>Lost</v>
      </c>
      <c r="Q3">
        <f ca="1"/>
        <v>0</v>
      </c>
    </row>
    <row r="4" spans="1:18" x14ac:dyDescent="0.25">
      <c r="A4" t="str">
        <f ca="1"/>
        <v>8_22 Clubhouse_1</v>
      </c>
      <c r="B4">
        <f ca="1"/>
        <v>3</v>
      </c>
      <c r="C4" t="str">
        <f ca="1"/>
        <v/>
      </c>
      <c r="D4">
        <f ca="1"/>
        <v>3</v>
      </c>
      <c r="E4">
        <f ca="1"/>
        <v>5</v>
      </c>
      <c r="F4" t="b">
        <f ca="1"/>
        <v>1</v>
      </c>
      <c r="G4" t="b">
        <f ca="1"/>
        <v>0</v>
      </c>
      <c r="H4">
        <f ca="1"/>
        <v>130</v>
      </c>
      <c r="I4" t="b">
        <f ca="1"/>
        <v>0</v>
      </c>
      <c r="J4" t="b">
        <f ca="1"/>
        <v>0</v>
      </c>
      <c r="K4" t="str">
        <f ca="1"/>
        <v>Defense</v>
      </c>
      <c r="L4">
        <f ca="1"/>
        <v>130</v>
      </c>
      <c r="M4" t="b">
        <f ca="1"/>
        <v>0</v>
      </c>
      <c r="N4" t="str">
        <f ca="1"/>
        <v>Unspecified</v>
      </c>
      <c r="O4" t="str">
        <f ca="1"/>
        <v>DiningKitchen</v>
      </c>
      <c r="P4" t="str">
        <f ca="1"/>
        <v>Won</v>
      </c>
      <c r="Q4">
        <f ca="1"/>
        <v>0</v>
      </c>
    </row>
    <row r="5" spans="1:18" x14ac:dyDescent="0.25">
      <c r="A5" t="str">
        <f ca="1"/>
        <v>8_22 Clubhouse_1</v>
      </c>
      <c r="B5">
        <f ca="1"/>
        <v>4</v>
      </c>
      <c r="C5" t="str">
        <f ca="1"/>
        <v/>
      </c>
      <c r="D5">
        <f ca="1"/>
        <v>2</v>
      </c>
      <c r="E5">
        <f ca="1"/>
        <v>5</v>
      </c>
      <c r="F5" t="b">
        <f ca="1"/>
        <v>1</v>
      </c>
      <c r="G5" t="b">
        <f ca="1"/>
        <v>0</v>
      </c>
      <c r="H5">
        <f ca="1"/>
        <v>180</v>
      </c>
      <c r="I5" t="b">
        <f ca="1"/>
        <v>0</v>
      </c>
      <c r="J5" t="b">
        <f ca="1"/>
        <v>0</v>
      </c>
      <c r="K5" t="str">
        <f ca="1"/>
        <v>Defense</v>
      </c>
      <c r="L5">
        <f ca="1"/>
        <v>180</v>
      </c>
      <c r="M5" t="b">
        <f ca="1"/>
        <v>0</v>
      </c>
      <c r="N5" t="str">
        <f ca="1"/>
        <v>Unspecified</v>
      </c>
      <c r="O5" t="str">
        <f ca="1"/>
        <v>AviationGames</v>
      </c>
      <c r="P5" t="str">
        <f ca="1"/>
        <v>Won</v>
      </c>
      <c r="Q5">
        <f ca="1"/>
        <v>0</v>
      </c>
    </row>
    <row r="6" spans="1:18" x14ac:dyDescent="0.25">
      <c r="A6" t="str">
        <f ca="1"/>
        <v>8_22 Clubhouse_1</v>
      </c>
      <c r="B6">
        <f ca="1"/>
        <v>5</v>
      </c>
      <c r="C6" t="str">
        <f ca="1"/>
        <v/>
      </c>
      <c r="D6">
        <f ca="1"/>
        <v>0</v>
      </c>
      <c r="E6">
        <f ca="1"/>
        <v>6</v>
      </c>
      <c r="F6" t="b">
        <f ca="1"/>
        <v>0</v>
      </c>
      <c r="G6" t="b">
        <f ca="1"/>
        <v>0</v>
      </c>
      <c r="H6">
        <f ca="1"/>
        <v>177</v>
      </c>
      <c r="I6" t="b">
        <f ca="1"/>
        <v>0</v>
      </c>
      <c r="J6" t="b">
        <f ca="1"/>
        <v>0</v>
      </c>
      <c r="K6" t="str">
        <f ca="1"/>
        <v>Defense</v>
      </c>
      <c r="L6">
        <f ca="1"/>
        <v>177</v>
      </c>
      <c r="M6" t="b">
        <f ca="1"/>
        <v>0</v>
      </c>
      <c r="N6" t="str">
        <f ca="1"/>
        <v>Unspecified</v>
      </c>
      <c r="O6" t="str">
        <f ca="1"/>
        <v>TrophyStatuary</v>
      </c>
      <c r="P6" t="str">
        <f ca="1"/>
        <v>Won</v>
      </c>
      <c r="Q6">
        <f ca="1"/>
        <v>0</v>
      </c>
    </row>
    <row r="7" spans="1:18" x14ac:dyDescent="0.25">
      <c r="A7" t="str">
        <f ca="1"/>
        <v>8_22 Clubhouse_1</v>
      </c>
      <c r="B7">
        <f ca="1"/>
        <v>6</v>
      </c>
      <c r="C7" t="str">
        <f ca="1"/>
        <v/>
      </c>
      <c r="D7">
        <f ca="1"/>
        <v>2</v>
      </c>
      <c r="E7">
        <f ca="1"/>
        <v>4</v>
      </c>
      <c r="F7" t="b">
        <f ca="1"/>
        <v>1</v>
      </c>
      <c r="G7" t="b">
        <f ca="1"/>
        <v>0</v>
      </c>
      <c r="H7">
        <f ca="1"/>
        <v>165</v>
      </c>
      <c r="I7" t="b">
        <f ca="1"/>
        <v>0</v>
      </c>
      <c r="J7" t="b">
        <f ca="1"/>
        <v>0</v>
      </c>
      <c r="K7" t="str">
        <f ca="1"/>
        <v>Defense</v>
      </c>
      <c r="L7">
        <f ca="1"/>
        <v>165</v>
      </c>
      <c r="M7" t="b">
        <f ca="1"/>
        <v>0</v>
      </c>
      <c r="N7" t="str">
        <f ca="1"/>
        <v>Unspecified</v>
      </c>
      <c r="O7" t="str">
        <f ca="1"/>
        <v>DiningKitchen</v>
      </c>
      <c r="P7" t="str">
        <f ca="1"/>
        <v>Won</v>
      </c>
      <c r="Q7">
        <f ca="1"/>
        <v>0</v>
      </c>
    </row>
    <row r="8" spans="1:18" x14ac:dyDescent="0.25">
      <c r="A8" t="str">
        <f ca="1"/>
        <v>8_22 Clubhouse_1</v>
      </c>
      <c r="B8">
        <f ca="1"/>
        <v>7</v>
      </c>
      <c r="C8">
        <f ca="1"/>
        <v>2</v>
      </c>
      <c r="D8" t="str">
        <f ca="1"/>
        <v/>
      </c>
      <c r="E8" t="str">
        <f ca="1"/>
        <v/>
      </c>
      <c r="F8" t="b">
        <f ca="1"/>
        <v>1</v>
      </c>
      <c r="G8" t="b">
        <f ca="1"/>
        <v>0</v>
      </c>
      <c r="H8">
        <f ca="1"/>
        <v>172</v>
      </c>
      <c r="I8" t="b">
        <f ca="1"/>
        <v>0</v>
      </c>
      <c r="J8" t="b">
        <f ca="1"/>
        <v>0</v>
      </c>
      <c r="K8" t="str">
        <f ca="1"/>
        <v>Attack</v>
      </c>
      <c r="L8">
        <f ca="1"/>
        <v>172</v>
      </c>
      <c r="M8" t="b">
        <f ca="1"/>
        <v>0</v>
      </c>
      <c r="N8" t="str">
        <f ca="1"/>
        <v>Unspecified</v>
      </c>
      <c r="O8" t="str">
        <f ca="1"/>
        <v>AviationGames</v>
      </c>
      <c r="P8" t="str">
        <f ca="1"/>
        <v>Lost</v>
      </c>
      <c r="Q8">
        <f ca="1"/>
        <v>0</v>
      </c>
    </row>
    <row r="9" spans="1:18" x14ac:dyDescent="0.25">
      <c r="A9" t="str">
        <f ca="1"/>
        <v>8_22 Clubhouse_1</v>
      </c>
      <c r="B9">
        <f ca="1"/>
        <v>8</v>
      </c>
      <c r="C9">
        <f ca="1"/>
        <v>1</v>
      </c>
      <c r="D9" t="str">
        <f ca="1"/>
        <v/>
      </c>
      <c r="E9" t="str">
        <f ca="1"/>
        <v/>
      </c>
      <c r="F9" t="b">
        <f ca="1"/>
        <v>0</v>
      </c>
      <c r="G9" t="b">
        <f ca="1"/>
        <v>0</v>
      </c>
      <c r="H9">
        <f ca="1"/>
        <v>87</v>
      </c>
      <c r="I9" t="b">
        <f ca="1"/>
        <v>0</v>
      </c>
      <c r="J9" t="b">
        <f ca="1"/>
        <v>0</v>
      </c>
      <c r="K9" t="str">
        <f ca="1"/>
        <v>Attack</v>
      </c>
      <c r="L9">
        <f ca="1"/>
        <v>87</v>
      </c>
      <c r="M9" t="b">
        <f ca="1"/>
        <v>0</v>
      </c>
      <c r="N9" t="str">
        <f ca="1"/>
        <v>Unspecified</v>
      </c>
      <c r="O9" t="str">
        <f ca="1"/>
        <v>TrophyStatuary</v>
      </c>
      <c r="P9" t="str">
        <f ca="1"/>
        <v>Lost</v>
      </c>
      <c r="Q9">
        <f ca="1"/>
        <v>0</v>
      </c>
    </row>
    <row r="10" spans="1:18" x14ac:dyDescent="0.25">
      <c r="A10" t="str">
        <f ca="1"/>
        <v>8_22 Clubhouse_1</v>
      </c>
      <c r="B10">
        <f ca="1"/>
        <v>9</v>
      </c>
      <c r="C10">
        <f ca="1"/>
        <v>1</v>
      </c>
      <c r="D10" t="str">
        <f ca="1"/>
        <v/>
      </c>
      <c r="E10" t="str">
        <f ca="1"/>
        <v/>
      </c>
      <c r="F10" t="b">
        <f ca="1"/>
        <v>1</v>
      </c>
      <c r="G10" t="b">
        <f ca="1"/>
        <v>0</v>
      </c>
      <c r="H10">
        <f ca="1"/>
        <v>180</v>
      </c>
      <c r="I10" t="b">
        <f ca="1"/>
        <v>0</v>
      </c>
      <c r="J10" t="b">
        <f ca="1"/>
        <v>0</v>
      </c>
      <c r="K10" t="str">
        <f ca="1"/>
        <v>Attack</v>
      </c>
      <c r="L10">
        <f ca="1"/>
        <v>180</v>
      </c>
      <c r="M10" t="b">
        <f ca="1"/>
        <v>0</v>
      </c>
      <c r="N10" t="str">
        <f ca="1"/>
        <v>Unspecified</v>
      </c>
      <c r="O10" t="str">
        <f ca="1"/>
        <v>DiningKitchen</v>
      </c>
      <c r="P10" t="str">
        <f ca="1"/>
        <v>Lost</v>
      </c>
      <c r="Q10">
        <f ca="1"/>
        <v>0</v>
      </c>
    </row>
    <row r="11" spans="1:18" x14ac:dyDescent="0.25">
      <c r="A11" t="str">
        <f ca="1"/>
        <v>8_22 Clubhouse_1</v>
      </c>
      <c r="B11">
        <f ca="1"/>
        <v>10</v>
      </c>
      <c r="C11">
        <f ca="1"/>
        <v>1</v>
      </c>
      <c r="D11" t="str">
        <f ca="1"/>
        <v/>
      </c>
      <c r="E11" t="str">
        <f ca="1"/>
        <v/>
      </c>
      <c r="F11" t="b">
        <f ca="1"/>
        <v>1</v>
      </c>
      <c r="G11" t="b">
        <f ca="1"/>
        <v>0</v>
      </c>
      <c r="H11">
        <f ca="1"/>
        <v>152</v>
      </c>
      <c r="I11" t="b">
        <f ca="1"/>
        <v>0</v>
      </c>
      <c r="J11" t="b">
        <f ca="1"/>
        <v>0</v>
      </c>
      <c r="K11" t="str">
        <f ca="1"/>
        <v>Attack</v>
      </c>
      <c r="L11">
        <f ca="1"/>
        <v>152</v>
      </c>
      <c r="M11" t="b">
        <f ca="1"/>
        <v>0</v>
      </c>
      <c r="N11" t="str">
        <f ca="1"/>
        <v>Unspecified</v>
      </c>
      <c r="O11" t="str">
        <f ca="1"/>
        <v>AviationGames</v>
      </c>
      <c r="P11" t="str">
        <f ca="1"/>
        <v>Lost</v>
      </c>
      <c r="Q11">
        <f ca="1"/>
        <v>0</v>
      </c>
    </row>
    <row r="12" spans="1:18" x14ac:dyDescent="0.25">
      <c r="A12" t="str">
        <f ca="1"/>
        <v>8_22 Clubhouse_1</v>
      </c>
      <c r="B12">
        <f ca="1"/>
        <v>11</v>
      </c>
      <c r="C12">
        <f ca="1"/>
        <v>0</v>
      </c>
      <c r="D12" t="str">
        <f ca="1"/>
        <v/>
      </c>
      <c r="E12" t="str">
        <f ca="1"/>
        <v/>
      </c>
      <c r="F12" t="b">
        <f ca="1"/>
        <v>0</v>
      </c>
      <c r="G12" t="b">
        <f ca="1"/>
        <v>0</v>
      </c>
      <c r="H12">
        <f ca="1"/>
        <v>96</v>
      </c>
      <c r="I12" t="b">
        <f ca="1"/>
        <v>0</v>
      </c>
      <c r="J12" t="b">
        <f ca="1"/>
        <v>0</v>
      </c>
      <c r="K12" t="str">
        <f ca="1"/>
        <v>Attack</v>
      </c>
      <c r="L12">
        <f ca="1"/>
        <v>96</v>
      </c>
      <c r="M12" t="b">
        <f ca="1"/>
        <v>0</v>
      </c>
      <c r="N12" t="str">
        <f ca="1"/>
        <v>Unspecified</v>
      </c>
      <c r="O12" t="str">
        <f ca="1"/>
        <v>TrophyStatuary</v>
      </c>
      <c r="P12" t="str">
        <f ca="1"/>
        <v>Won</v>
      </c>
      <c r="Q12">
        <f ca="1"/>
        <v>0</v>
      </c>
    </row>
    <row r="13" spans="1:18" x14ac:dyDescent="0.25">
      <c r="A13" t="str">
        <f ca="1"/>
        <v>8_22 Clubhouse_1</v>
      </c>
      <c r="B13">
        <f ca="1"/>
        <v>12</v>
      </c>
      <c r="C13">
        <f ca="1"/>
        <v>0</v>
      </c>
      <c r="D13" t="str">
        <f ca="1"/>
        <v/>
      </c>
      <c r="E13" t="str">
        <f ca="1"/>
        <v/>
      </c>
      <c r="F13" t="b">
        <f ca="1"/>
        <v>1</v>
      </c>
      <c r="G13" t="b">
        <f ca="1"/>
        <v>0</v>
      </c>
      <c r="H13">
        <f ca="1"/>
        <v>179</v>
      </c>
      <c r="I13" t="b">
        <f ca="1"/>
        <v>0</v>
      </c>
      <c r="J13" t="b">
        <f ca="1"/>
        <v>0</v>
      </c>
      <c r="K13" t="str">
        <f ca="1"/>
        <v>Attack</v>
      </c>
      <c r="L13">
        <f ca="1"/>
        <v>179</v>
      </c>
      <c r="M13" t="b">
        <f ca="1"/>
        <v>0</v>
      </c>
      <c r="N13" t="str">
        <f ca="1"/>
        <v>Unspecified</v>
      </c>
      <c r="O13" t="str">
        <f ca="1"/>
        <v>TrophyStatuary</v>
      </c>
      <c r="P13" t="str">
        <f ca="1"/>
        <v>Lost</v>
      </c>
      <c r="Q13">
        <f ca="1"/>
        <v>0</v>
      </c>
    </row>
    <row r="14" spans="1:18" x14ac:dyDescent="0.25">
      <c r="A14" t="str">
        <f ca="1"/>
        <v>8_22 Clubhouse_1</v>
      </c>
      <c r="B14">
        <f ca="1"/>
        <v>13</v>
      </c>
      <c r="C14">
        <f ca="1"/>
        <v>1</v>
      </c>
      <c r="D14" t="str">
        <f ca="1"/>
        <v/>
      </c>
      <c r="E14" t="str">
        <f ca="1"/>
        <v/>
      </c>
      <c r="F14" t="b">
        <f ca="1"/>
        <v>0</v>
      </c>
      <c r="G14" t="b">
        <f ca="1"/>
        <v>1</v>
      </c>
      <c r="H14">
        <f ca="1"/>
        <v>186</v>
      </c>
      <c r="I14" t="b">
        <f ca="1"/>
        <v>0</v>
      </c>
      <c r="J14" t="b">
        <f ca="1"/>
        <v>1</v>
      </c>
      <c r="K14" t="str">
        <f ca="1"/>
        <v>Attack</v>
      </c>
      <c r="L14">
        <f ca="1"/>
        <v>186</v>
      </c>
      <c r="M14">
        <f ca="1"/>
        <v>175</v>
      </c>
      <c r="N14" t="str">
        <f ca="1"/>
        <v>Unspecified</v>
      </c>
      <c r="O14" t="str">
        <f ca="1"/>
        <v>AviationGames</v>
      </c>
      <c r="P14" t="str">
        <f ca="1"/>
        <v>Won</v>
      </c>
      <c r="Q14">
        <f ca="1"/>
        <v>0</v>
      </c>
    </row>
    <row r="15" spans="1:18" x14ac:dyDescent="0.25">
      <c r="A15" t="str">
        <f ca="1"/>
        <v>8_22 Clubhouse_1</v>
      </c>
      <c r="B15">
        <f ca="1"/>
        <v>14</v>
      </c>
      <c r="C15" t="str">
        <f ca="1"/>
        <v/>
      </c>
      <c r="D15">
        <f ca="1"/>
        <v>2</v>
      </c>
      <c r="E15">
        <f ca="1"/>
        <v>7</v>
      </c>
      <c r="F15" t="b">
        <f ca="1"/>
        <v>0</v>
      </c>
      <c r="G15" t="b">
        <f ca="1"/>
        <v>0</v>
      </c>
      <c r="H15">
        <f ca="1"/>
        <v>158</v>
      </c>
      <c r="I15" t="b">
        <f ca="1"/>
        <v>0</v>
      </c>
      <c r="J15" t="b">
        <f ca="1"/>
        <v>0</v>
      </c>
      <c r="K15" t="str">
        <f ca="1"/>
        <v>Defense</v>
      </c>
      <c r="L15">
        <f ca="1"/>
        <v>158</v>
      </c>
      <c r="M15" t="b">
        <f ca="1"/>
        <v>0</v>
      </c>
      <c r="N15" t="str">
        <f ca="1"/>
        <v>Unspecified</v>
      </c>
      <c r="O15" t="str">
        <f ca="1"/>
        <v>DiningKitchen</v>
      </c>
      <c r="P15" t="str">
        <f ca="1"/>
        <v>Won</v>
      </c>
      <c r="Q15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5"/>
  <sheetViews>
    <sheetView tabSelected="1" topLeftCell="I1" workbookViewId="0">
      <selection activeCell="AJ5" sqref="AJ5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6" t="s">
        <v>311</v>
      </c>
      <c r="F1" s="55" t="s">
        <v>312</v>
      </c>
      <c r="G1" s="13" t="s">
        <v>41</v>
      </c>
      <c r="H1" s="13" t="s">
        <v>338</v>
      </c>
      <c r="I1" s="13" t="s">
        <v>339</v>
      </c>
      <c r="J1" s="51" t="s">
        <v>61</v>
      </c>
      <c r="K1" s="50" t="s">
        <v>475</v>
      </c>
      <c r="L1" s="50" t="s">
        <v>313</v>
      </c>
      <c r="M1" s="51" t="s">
        <v>314</v>
      </c>
      <c r="N1" s="21" t="s">
        <v>474</v>
      </c>
      <c r="O1" s="21" t="s">
        <v>473</v>
      </c>
      <c r="P1" s="21" t="s">
        <v>472</v>
      </c>
      <c r="Q1" s="55" t="s">
        <v>63</v>
      </c>
      <c r="R1" s="56" t="s">
        <v>471</v>
      </c>
      <c r="S1" s="56" t="s">
        <v>315</v>
      </c>
      <c r="T1" s="55" t="s">
        <v>316</v>
      </c>
      <c r="U1" s="13" t="s">
        <v>470</v>
      </c>
      <c r="V1" s="13" t="s">
        <v>469</v>
      </c>
      <c r="W1" s="13" t="s">
        <v>468</v>
      </c>
      <c r="X1" s="51" t="s">
        <v>64</v>
      </c>
      <c r="Y1" s="50" t="s">
        <v>467</v>
      </c>
      <c r="Z1" s="50" t="s">
        <v>317</v>
      </c>
      <c r="AA1" s="51" t="s">
        <v>318</v>
      </c>
      <c r="AB1" s="21" t="s">
        <v>466</v>
      </c>
      <c r="AC1" s="21" t="s">
        <v>465</v>
      </c>
      <c r="AD1" s="21" t="s">
        <v>464</v>
      </c>
      <c r="AE1" s="55" t="s">
        <v>65</v>
      </c>
      <c r="AF1" s="56" t="s">
        <v>463</v>
      </c>
      <c r="AG1" s="56" t="s">
        <v>319</v>
      </c>
      <c r="AH1" s="55" t="s">
        <v>320</v>
      </c>
      <c r="AI1" s="13" t="s">
        <v>461</v>
      </c>
      <c r="AJ1" s="13" t="s">
        <v>460</v>
      </c>
      <c r="AK1" s="13" t="s">
        <v>462</v>
      </c>
    </row>
    <row r="2" spans="1:37" x14ac:dyDescent="0.25">
      <c r="A2" t="str" cm="1">
        <f t="array" aca="1" ref="A2:AK15" ca="1">pulloverall(REF!A10:A18,REF!A7,REF!A2:A7,REF!B2)</f>
        <v>8_22 Clubhouse_1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8_22 Clubhouse_1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8_22 Clubhouse_1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25">
      <c r="A5" t="str">
        <f ca="1"/>
        <v>8_22 Clubhouse_1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25">
      <c r="A6" t="str">
        <f ca="1"/>
        <v>8_22 Clubhouse_1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25">
      <c r="A7" t="str">
        <f ca="1"/>
        <v>8_22 Clubhouse_1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25">
      <c r="A8" t="str">
        <f ca="1"/>
        <v>8_22 Clubhouse_1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25">
      <c r="A9" t="str">
        <f ca="1"/>
        <v>8_22 Clubhouse_1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25">
      <c r="A10" t="str">
        <f ca="1"/>
        <v>8_22 Clubhouse_1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25">
      <c r="A11" t="str">
        <f ca="1"/>
        <v>8_22 Clubhouse_1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25">
      <c r="A12" t="str">
        <f ca="1"/>
        <v>8_22 Clubhouse_1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  <row r="13" spans="1:37" x14ac:dyDescent="0.25">
      <c r="A13" t="str">
        <f ca="1"/>
        <v>8_22 Clubhouse_1</v>
      </c>
      <c r="B13" t="b">
        <f ca="1"/>
        <v>0</v>
      </c>
      <c r="C13" t="str">
        <f ca="1"/>
        <v>NOLOC</v>
      </c>
      <c r="D13" t="b">
        <f ca="1"/>
        <v>0</v>
      </c>
      <c r="E13" t="b">
        <f ca="1"/>
        <v>0</v>
      </c>
      <c r="F13" t="b">
        <f ca="1"/>
        <v>0</v>
      </c>
      <c r="G13" t="b">
        <f ca="1"/>
        <v>0</v>
      </c>
      <c r="H13" t="b">
        <f ca="1"/>
        <v>0</v>
      </c>
      <c r="I13" t="str">
        <f ca="1"/>
        <v>N/A</v>
      </c>
      <c r="J13" t="str">
        <f ca="1"/>
        <v>NOLOC</v>
      </c>
      <c r="K13" t="b">
        <f ca="1"/>
        <v>0</v>
      </c>
      <c r="L13" t="b">
        <f ca="1"/>
        <v>0</v>
      </c>
      <c r="M13" t="b">
        <f ca="1"/>
        <v>0</v>
      </c>
      <c r="N13" t="b">
        <f ca="1"/>
        <v>0</v>
      </c>
      <c r="O13" t="b">
        <f ca="1"/>
        <v>0</v>
      </c>
      <c r="P13" t="str">
        <f ca="1"/>
        <v>N/A</v>
      </c>
      <c r="Q13" t="str">
        <f ca="1"/>
        <v>NOLOC</v>
      </c>
      <c r="R13" t="b">
        <f ca="1"/>
        <v>0</v>
      </c>
      <c r="S13" t="b">
        <f ca="1"/>
        <v>0</v>
      </c>
      <c r="T13" t="b">
        <f ca="1"/>
        <v>0</v>
      </c>
      <c r="U13" t="b">
        <f ca="1"/>
        <v>0</v>
      </c>
      <c r="V13" t="b">
        <f ca="1"/>
        <v>0</v>
      </c>
      <c r="W13" t="str">
        <f ca="1"/>
        <v>N/A</v>
      </c>
      <c r="X13" t="str">
        <f ca="1"/>
        <v>NOLOC</v>
      </c>
      <c r="Y13" t="b">
        <f ca="1"/>
        <v>0</v>
      </c>
      <c r="Z13" t="b">
        <f ca="1"/>
        <v>0</v>
      </c>
      <c r="AA13" t="b">
        <f ca="1"/>
        <v>0</v>
      </c>
      <c r="AB13" t="b">
        <f ca="1"/>
        <v>0</v>
      </c>
      <c r="AC13" t="b">
        <f ca="1"/>
        <v>0</v>
      </c>
      <c r="AD13" t="str">
        <f ca="1"/>
        <v>N/A</v>
      </c>
      <c r="AE13" t="str">
        <f ca="1"/>
        <v>NOLOC</v>
      </c>
      <c r="AF13" t="b">
        <f ca="1"/>
        <v>0</v>
      </c>
      <c r="AG13" t="b">
        <f ca="1"/>
        <v>0</v>
      </c>
      <c r="AH13" t="b">
        <f ca="1"/>
        <v>0</v>
      </c>
      <c r="AI13" t="b">
        <f ca="1"/>
        <v>0</v>
      </c>
      <c r="AJ13" t="b">
        <f ca="1"/>
        <v>0</v>
      </c>
      <c r="AK13" t="str">
        <f ca="1"/>
        <v>N/A</v>
      </c>
    </row>
    <row r="14" spans="1:37" x14ac:dyDescent="0.25">
      <c r="A14" t="str">
        <f ca="1"/>
        <v>8_22 Clubhouse_1</v>
      </c>
      <c r="B14" t="b">
        <f ca="1"/>
        <v>0</v>
      </c>
      <c r="C14" t="str">
        <f ca="1"/>
        <v>NOLOC</v>
      </c>
      <c r="D14" t="b">
        <f ca="1"/>
        <v>0</v>
      </c>
      <c r="E14" t="b">
        <f ca="1"/>
        <v>0</v>
      </c>
      <c r="F14" t="b">
        <f ca="1"/>
        <v>0</v>
      </c>
      <c r="G14" t="b">
        <f ca="1"/>
        <v>0</v>
      </c>
      <c r="H14" t="b">
        <f ca="1"/>
        <v>0</v>
      </c>
      <c r="I14" t="str">
        <f ca="1"/>
        <v>N/A</v>
      </c>
      <c r="J14" t="str">
        <f ca="1"/>
        <v>NOLOC</v>
      </c>
      <c r="K14" t="b">
        <f ca="1"/>
        <v>0</v>
      </c>
      <c r="L14" t="b">
        <f ca="1"/>
        <v>0</v>
      </c>
      <c r="M14" t="b">
        <f ca="1"/>
        <v>0</v>
      </c>
      <c r="N14" t="b">
        <f ca="1"/>
        <v>0</v>
      </c>
      <c r="O14" t="b">
        <f ca="1"/>
        <v>0</v>
      </c>
      <c r="P14" t="str">
        <f ca="1"/>
        <v>N/A</v>
      </c>
      <c r="Q14" t="str">
        <f ca="1"/>
        <v>NOLOC</v>
      </c>
      <c r="R14" t="b">
        <f ca="1"/>
        <v>0</v>
      </c>
      <c r="S14" t="b">
        <f ca="1"/>
        <v>0</v>
      </c>
      <c r="T14" t="b">
        <f ca="1"/>
        <v>0</v>
      </c>
      <c r="U14" t="b">
        <f ca="1"/>
        <v>0</v>
      </c>
      <c r="V14" t="b">
        <f ca="1"/>
        <v>0</v>
      </c>
      <c r="W14" t="str">
        <f ca="1"/>
        <v>N/A</v>
      </c>
      <c r="X14" t="str">
        <f ca="1"/>
        <v>NOLOC</v>
      </c>
      <c r="Y14" t="b">
        <f ca="1"/>
        <v>0</v>
      </c>
      <c r="Z14" t="b">
        <f ca="1"/>
        <v>0</v>
      </c>
      <c r="AA14" t="b">
        <f ca="1"/>
        <v>0</v>
      </c>
      <c r="AB14" t="b">
        <f ca="1"/>
        <v>0</v>
      </c>
      <c r="AC14" t="b">
        <f ca="1"/>
        <v>0</v>
      </c>
      <c r="AD14" t="str">
        <f ca="1"/>
        <v>N/A</v>
      </c>
      <c r="AE14" t="str">
        <f ca="1"/>
        <v>NOLOC</v>
      </c>
      <c r="AF14" t="b">
        <f ca="1"/>
        <v>0</v>
      </c>
      <c r="AG14" t="b">
        <f ca="1"/>
        <v>0</v>
      </c>
      <c r="AH14" t="b">
        <f ca="1"/>
        <v>0</v>
      </c>
      <c r="AI14" t="b">
        <f ca="1"/>
        <v>0</v>
      </c>
      <c r="AJ14" t="b">
        <f ca="1"/>
        <v>0</v>
      </c>
      <c r="AK14" t="str">
        <f ca="1"/>
        <v>N/A</v>
      </c>
    </row>
    <row r="15" spans="1:37" x14ac:dyDescent="0.25">
      <c r="A15" t="str">
        <f ca="1"/>
        <v>8_22 Clubhouse_1</v>
      </c>
      <c r="B15" t="b">
        <f ca="1"/>
        <v>0</v>
      </c>
      <c r="C15" t="str">
        <f ca="1"/>
        <v>NOLOC</v>
      </c>
      <c r="D15" t="b">
        <f ca="1"/>
        <v>0</v>
      </c>
      <c r="E15" t="b">
        <f ca="1"/>
        <v>0</v>
      </c>
      <c r="F15" t="b">
        <f ca="1"/>
        <v>0</v>
      </c>
      <c r="G15" t="b">
        <f ca="1"/>
        <v>0</v>
      </c>
      <c r="H15" t="b">
        <f ca="1"/>
        <v>0</v>
      </c>
      <c r="I15" t="str">
        <f ca="1"/>
        <v>N/A</v>
      </c>
      <c r="J15" t="str">
        <f ca="1"/>
        <v>NOLOC</v>
      </c>
      <c r="K15" t="b">
        <f ca="1"/>
        <v>0</v>
      </c>
      <c r="L15" t="b">
        <f ca="1"/>
        <v>0</v>
      </c>
      <c r="M15" t="b">
        <f ca="1"/>
        <v>0</v>
      </c>
      <c r="N15" t="b">
        <f ca="1"/>
        <v>0</v>
      </c>
      <c r="O15" t="b">
        <f ca="1"/>
        <v>0</v>
      </c>
      <c r="P15" t="str">
        <f ca="1"/>
        <v>N/A</v>
      </c>
      <c r="Q15" t="str">
        <f ca="1"/>
        <v>NOLOC</v>
      </c>
      <c r="R15" t="b">
        <f ca="1"/>
        <v>0</v>
      </c>
      <c r="S15" t="b">
        <f ca="1"/>
        <v>0</v>
      </c>
      <c r="T15" t="b">
        <f ca="1"/>
        <v>0</v>
      </c>
      <c r="U15" t="b">
        <f ca="1"/>
        <v>0</v>
      </c>
      <c r="V15" t="b">
        <f ca="1"/>
        <v>0</v>
      </c>
      <c r="W15" t="str">
        <f ca="1"/>
        <v>N/A</v>
      </c>
      <c r="X15" t="str">
        <f ca="1"/>
        <v>NOLOC</v>
      </c>
      <c r="Y15" t="b">
        <f ca="1"/>
        <v>0</v>
      </c>
      <c r="Z15" t="b">
        <f ca="1"/>
        <v>0</v>
      </c>
      <c r="AA15" t="b">
        <f ca="1"/>
        <v>0</v>
      </c>
      <c r="AB15" t="b">
        <f ca="1"/>
        <v>0</v>
      </c>
      <c r="AC15" t="b">
        <f ca="1"/>
        <v>0</v>
      </c>
      <c r="AD15" t="str">
        <f ca="1"/>
        <v>N/A</v>
      </c>
      <c r="AE15" t="str">
        <f ca="1"/>
        <v>NOLOC</v>
      </c>
      <c r="AF15" t="b">
        <f ca="1"/>
        <v>0</v>
      </c>
      <c r="AG15" t="b">
        <f ca="1"/>
        <v>0</v>
      </c>
      <c r="AH15" t="b">
        <f ca="1"/>
        <v>0</v>
      </c>
      <c r="AI15" t="b">
        <f ca="1"/>
        <v>0</v>
      </c>
      <c r="AJ15" t="b">
        <f ca="1"/>
        <v>0</v>
      </c>
      <c r="AK15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pulloverall(REF!A10:A18,REF!A2,REF!A2:A7,REF!B2)</f>
        <v>8_22 Clubhouse_1</v>
      </c>
      <c r="B2">
        <f ca="1"/>
        <v>1</v>
      </c>
      <c r="C2" t="str">
        <f ca="1"/>
        <v>Defense</v>
      </c>
      <c r="D2" t="str">
        <f ca="1"/>
        <v>Candle</v>
      </c>
      <c r="E2" t="str">
        <f ca="1"/>
        <v>Mute</v>
      </c>
      <c r="F2">
        <f ca="1"/>
        <v>121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1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1</v>
      </c>
      <c r="AB2" t="str">
        <f ca="1"/>
        <v>Rye</v>
      </c>
      <c r="AC2">
        <f ca="1"/>
        <v>54</v>
      </c>
      <c r="AD2" t="b">
        <f ca="1"/>
        <v>0</v>
      </c>
      <c r="AE2" t="b">
        <f ca="1"/>
        <v>0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Candle</v>
      </c>
      <c r="E3" t="str">
        <f ca="1"/>
        <v>Wamai</v>
      </c>
      <c r="F3">
        <f ca="1"/>
        <v>69</v>
      </c>
      <c r="G3" t="str">
        <f ca="1"/>
        <v>Lakqi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1</v>
      </c>
      <c r="M3" t="b">
        <f ca="1"/>
        <v>1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Candle</v>
      </c>
      <c r="E4" t="str">
        <f ca="1"/>
        <v>Oryx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2</v>
      </c>
      <c r="P4">
        <f ca="1"/>
        <v>2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UNKNOWN</v>
      </c>
      <c r="AV4" t="b">
        <f ca="1"/>
        <v>0</v>
      </c>
      <c r="AW4" t="str">
        <f ca="1"/>
        <v>Hox</v>
      </c>
      <c r="AX4">
        <f ca="1"/>
        <v>127</v>
      </c>
      <c r="AY4" t="b">
        <f ca="1"/>
        <v>0</v>
      </c>
      <c r="AZ4" t="b">
        <f ca="1"/>
        <v>1</v>
      </c>
      <c r="BA4" t="b">
        <f ca="1"/>
        <v>0</v>
      </c>
      <c r="BB4" t="str">
        <f ca="1"/>
        <v>UNKNOWN</v>
      </c>
      <c r="BC4" t="b">
        <f ca="1"/>
        <v>0</v>
      </c>
      <c r="BD4" t="str">
        <f ca="1"/>
        <v>Saryz</v>
      </c>
      <c r="BE4">
        <f ca="1"/>
        <v>130</v>
      </c>
      <c r="BF4" t="b">
        <f ca="1"/>
        <v>0</v>
      </c>
      <c r="BG4" t="b">
        <f ca="1"/>
        <v>1</v>
      </c>
      <c r="BH4" t="b">
        <f ca="1"/>
        <v>0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Candle</v>
      </c>
      <c r="E5" t="str">
        <f ca="1"/>
        <v>Mute</v>
      </c>
      <c r="F5">
        <f ca="1"/>
        <v>171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Candle</v>
      </c>
      <c r="E6" t="str">
        <f ca="1"/>
        <v>Warden</v>
      </c>
      <c r="F6">
        <f ca="1"/>
        <v>132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Candle</v>
      </c>
      <c r="E7" t="str">
        <f ca="1"/>
        <v>Oryx</v>
      </c>
      <c r="F7">
        <f ca="1"/>
        <v>64</v>
      </c>
      <c r="G7" t="str">
        <f ca="1"/>
        <v>Saryz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Candle</v>
      </c>
      <c r="E8" t="str">
        <f ca="1"/>
        <v>Iana</v>
      </c>
      <c r="F8">
        <f ca="1"/>
        <v>95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1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1</v>
      </c>
      <c r="AB8" t="str">
        <f ca="1"/>
        <v>Saryz</v>
      </c>
      <c r="AC8">
        <f ca="1"/>
        <v>49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Candle</v>
      </c>
      <c r="E9" t="str">
        <f ca="1"/>
        <v>Iana</v>
      </c>
      <c r="F9">
        <f ca="1"/>
        <v>87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1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1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Hiperzz</v>
      </c>
      <c r="AQ9">
        <f ca="1"/>
        <v>70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Candle</v>
      </c>
      <c r="E10" t="str">
        <f ca="1"/>
        <v>Iana</v>
      </c>
      <c r="F10" t="b">
        <f ca="1"/>
        <v>0</v>
      </c>
      <c r="G10" t="b">
        <f ca="1"/>
        <v>0</v>
      </c>
      <c r="H10" t="str">
        <f ca="1"/>
        <v>N/A</v>
      </c>
      <c r="I10" t="str">
        <f ca="1"/>
        <v>N/A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1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Candle</v>
      </c>
      <c r="E11" t="str">
        <f ca="1"/>
        <v>Iana</v>
      </c>
      <c r="F11">
        <f ca="1"/>
        <v>76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Candle</v>
      </c>
      <c r="E12" t="str">
        <f ca="1"/>
        <v>Iana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4</v>
      </c>
      <c r="P12">
        <f ca="1"/>
        <v>1</v>
      </c>
      <c r="Q12">
        <f ca="1"/>
        <v>1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1</v>
      </c>
      <c r="AB12" t="str">
        <f ca="1"/>
        <v>Lakqi</v>
      </c>
      <c r="AC12">
        <f ca="1"/>
        <v>25</v>
      </c>
      <c r="AD12" t="b">
        <f ca="1"/>
        <v>0</v>
      </c>
      <c r="AE12" t="b">
        <f ca="1"/>
        <v>0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Saryz</v>
      </c>
      <c r="AJ12">
        <f ca="1"/>
        <v>43</v>
      </c>
      <c r="AK12" t="b">
        <f ca="1"/>
        <v>0</v>
      </c>
      <c r="AL12" t="b">
        <f ca="1"/>
        <v>0</v>
      </c>
      <c r="AM12" t="b">
        <f ca="1"/>
        <v>0</v>
      </c>
      <c r="AN12" t="str">
        <f ca="1"/>
        <v>UNKNOWN</v>
      </c>
      <c r="AO12" t="b">
        <f ca="1"/>
        <v>0</v>
      </c>
      <c r="AP12" t="str">
        <f ca="1"/>
        <v>Hiperzz</v>
      </c>
      <c r="AQ12">
        <f ca="1"/>
        <v>45</v>
      </c>
      <c r="AR12" t="b">
        <f ca="1"/>
        <v>0</v>
      </c>
      <c r="AS12" t="b">
        <f ca="1"/>
        <v>0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Rye</v>
      </c>
      <c r="AX12">
        <f ca="1"/>
        <v>89</v>
      </c>
      <c r="AY12" t="b">
        <f ca="1"/>
        <v>0</v>
      </c>
      <c r="AZ12" t="b">
        <f ca="1"/>
        <v>1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Candle</v>
      </c>
      <c r="E13" t="str">
        <f ca="1"/>
        <v>Iana</v>
      </c>
      <c r="F13">
        <f ca="1"/>
        <v>160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Candle</v>
      </c>
      <c r="E14" t="str">
        <f ca="1"/>
        <v>Iana</v>
      </c>
      <c r="F14">
        <f ca="1"/>
        <v>146</v>
      </c>
      <c r="G14" t="str">
        <f ca="1"/>
        <v>Lakqi</v>
      </c>
      <c r="H14" t="b">
        <f ca="1"/>
        <v>0</v>
      </c>
      <c r="I14" t="b">
        <f ca="1"/>
        <v>1</v>
      </c>
      <c r="J14" t="b">
        <f ca="1"/>
        <v>1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UNKNOWN</v>
      </c>
      <c r="AH14" t="b">
        <f ca="1"/>
        <v>0</v>
      </c>
      <c r="AI14" t="str">
        <f ca="1"/>
        <v>Hox</v>
      </c>
      <c r="AJ14">
        <f ca="1"/>
        <v>90</v>
      </c>
      <c r="AK14" t="b">
        <f ca="1"/>
        <v>0</v>
      </c>
      <c r="AL14" t="b">
        <f ca="1"/>
        <v>0</v>
      </c>
      <c r="AM14" t="b">
        <f ca="1"/>
        <v>0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Candle</v>
      </c>
      <c r="E15" t="str">
        <f ca="1"/>
        <v>Oryx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2</v>
      </c>
      <c r="P15">
        <f ca="1"/>
        <v>2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UNKNOWN</v>
      </c>
      <c r="AV15" t="b">
        <f ca="1"/>
        <v>0</v>
      </c>
      <c r="AW15" t="str">
        <f ca="1"/>
        <v>Rye</v>
      </c>
      <c r="AX15">
        <f ca="1"/>
        <v>134</v>
      </c>
      <c r="AY15" t="b">
        <f ca="1"/>
        <v>0</v>
      </c>
      <c r="AZ15" t="b">
        <f ca="1"/>
        <v>1</v>
      </c>
      <c r="BA15" t="b">
        <f ca="1"/>
        <v>0</v>
      </c>
      <c r="BB15" t="str">
        <f ca="1"/>
        <v>UNKNOWN</v>
      </c>
      <c r="BC15" t="b">
        <f ca="1"/>
        <v>0</v>
      </c>
      <c r="BD15" t="str">
        <f ca="1"/>
        <v>Hox</v>
      </c>
      <c r="BE15">
        <f ca="1"/>
        <v>158</v>
      </c>
      <c r="BF15" t="b">
        <f ca="1"/>
        <v>0</v>
      </c>
      <c r="BG15" t="b">
        <f ca="1"/>
        <v>1</v>
      </c>
      <c r="BH15" t="b">
        <f ca="1"/>
        <v>0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pulloverall(REF!A10:A18,REF!A3,REF!A2:A7,REF!B2)</f>
        <v>8_22 Clubhouse_1</v>
      </c>
      <c r="B2">
        <f ca="1"/>
        <v>1</v>
      </c>
      <c r="C2" t="str">
        <f ca="1"/>
        <v>Defense</v>
      </c>
      <c r="D2" t="str">
        <f ca="1"/>
        <v>Chos3n</v>
      </c>
      <c r="E2" t="str">
        <f ca="1"/>
        <v>Jager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Saryz</v>
      </c>
      <c r="AQ2">
        <f ca="1"/>
        <v>168</v>
      </c>
      <c r="AR2" t="b">
        <f ca="1"/>
        <v>0</v>
      </c>
      <c r="AS2" t="b">
        <f ca="1"/>
        <v>1</v>
      </c>
      <c r="AT2" t="b">
        <f ca="1"/>
        <v>0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Chos3n</v>
      </c>
      <c r="E3" t="str">
        <f ca="1"/>
        <v>Melusi</v>
      </c>
      <c r="F3">
        <f ca="1"/>
        <v>75</v>
      </c>
      <c r="G3" t="str">
        <f ca="1"/>
        <v>Hox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Chos3n</v>
      </c>
      <c r="E4" t="str">
        <f ca="1"/>
        <v>Azami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Chos3n</v>
      </c>
      <c r="E5" t="str">
        <f ca="1"/>
        <v>Jager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UNKNOWN</v>
      </c>
      <c r="AV5" t="b">
        <f ca="1"/>
        <v>0</v>
      </c>
      <c r="AW5" t="str">
        <f ca="1"/>
        <v>Rye</v>
      </c>
      <c r="AX5">
        <f ca="1"/>
        <v>180</v>
      </c>
      <c r="AY5" t="b">
        <f ca="1"/>
        <v>0</v>
      </c>
      <c r="AZ5" t="b">
        <f ca="1"/>
        <v>1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Chos3n</v>
      </c>
      <c r="E6" t="str">
        <f ca="1"/>
        <v>Maestro</v>
      </c>
      <c r="F6">
        <f ca="1"/>
        <v>40</v>
      </c>
      <c r="G6" t="str">
        <f ca="1"/>
        <v>Saryz</v>
      </c>
      <c r="H6" t="b">
        <f ca="1"/>
        <v>0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Chos3n</v>
      </c>
      <c r="E7" t="str">
        <f ca="1"/>
        <v>Thunderbird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4</v>
      </c>
      <c r="P7">
        <f ca="1"/>
        <v>2</v>
      </c>
      <c r="Q7">
        <f ca="1"/>
        <v>1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Hiperzz</v>
      </c>
      <c r="AJ7">
        <f ca="1"/>
        <v>51</v>
      </c>
      <c r="AK7" t="b">
        <f ca="1"/>
        <v>0</v>
      </c>
      <c r="AL7" t="b">
        <f ca="1"/>
        <v>1</v>
      </c>
      <c r="AM7" t="b">
        <f ca="1"/>
        <v>0</v>
      </c>
      <c r="AN7" t="str">
        <f ca="1"/>
        <v>UNKNOWN</v>
      </c>
      <c r="AO7" t="b">
        <f ca="1"/>
        <v>1</v>
      </c>
      <c r="AP7" t="str">
        <f ca="1"/>
        <v>Hox</v>
      </c>
      <c r="AQ7">
        <f ca="1"/>
        <v>93</v>
      </c>
      <c r="AR7" t="b">
        <f ca="1"/>
        <v>0</v>
      </c>
      <c r="AS7" t="b">
        <f ca="1"/>
        <v>0</v>
      </c>
      <c r="AT7" t="b">
        <f ca="1"/>
        <v>0</v>
      </c>
      <c r="AU7" t="str">
        <f ca="1"/>
        <v>UNKNOWN</v>
      </c>
      <c r="AV7" t="b">
        <f ca="1"/>
        <v>0</v>
      </c>
      <c r="AW7" t="str">
        <f ca="1"/>
        <v>Saryz</v>
      </c>
      <c r="AX7">
        <f ca="1"/>
        <v>145</v>
      </c>
      <c r="AY7" t="b">
        <f ca="1"/>
        <v>0</v>
      </c>
      <c r="AZ7" t="b">
        <f ca="1"/>
        <v>1</v>
      </c>
      <c r="BA7" t="b">
        <f ca="1"/>
        <v>0</v>
      </c>
      <c r="BB7" t="str">
        <f ca="1"/>
        <v>UNKNOWN</v>
      </c>
      <c r="BC7" t="b">
        <f ca="1"/>
        <v>0</v>
      </c>
      <c r="BD7" t="str">
        <f ca="1"/>
        <v>Rye</v>
      </c>
      <c r="BE7">
        <f ca="1"/>
        <v>165</v>
      </c>
      <c r="BF7" t="b">
        <f ca="1"/>
        <v>0</v>
      </c>
      <c r="BG7" t="b">
        <f ca="1"/>
        <v>0</v>
      </c>
      <c r="BH7" t="b">
        <f ca="1"/>
        <v>0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Chos3n</v>
      </c>
      <c r="E8" t="str">
        <f ca="1"/>
        <v>Flores</v>
      </c>
      <c r="F8">
        <f ca="1"/>
        <v>171</v>
      </c>
      <c r="G8" t="str">
        <f ca="1"/>
        <v>Hox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1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Lakqi</v>
      </c>
      <c r="AJ8">
        <f ca="1"/>
        <v>108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Chos3n</v>
      </c>
      <c r="E9" t="str">
        <f ca="1"/>
        <v>Flores</v>
      </c>
      <c r="F9">
        <f ca="1"/>
        <v>62</v>
      </c>
      <c r="G9" t="str">
        <f ca="1"/>
        <v>Lakqi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Chos3n</v>
      </c>
      <c r="E10" t="str">
        <f ca="1"/>
        <v>Sledge</v>
      </c>
      <c r="F10">
        <f ca="1"/>
        <v>120</v>
      </c>
      <c r="G10" t="str">
        <f ca="1"/>
        <v>Lakqi</v>
      </c>
      <c r="H10" t="b">
        <f ca="1"/>
        <v>0</v>
      </c>
      <c r="I10" t="b">
        <f ca="1"/>
        <v>1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1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1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Hiperzz</v>
      </c>
      <c r="AC10">
        <f ca="1"/>
        <v>114</v>
      </c>
      <c r="AD10" t="b">
        <f ca="1"/>
        <v>0</v>
      </c>
      <c r="AE10" t="b">
        <f ca="1"/>
        <v>0</v>
      </c>
      <c r="AF10" t="b">
        <f ca="1"/>
        <v>1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Chos3n</v>
      </c>
      <c r="E11" t="str">
        <f ca="1"/>
        <v>Zofia</v>
      </c>
      <c r="F11">
        <f ca="1"/>
        <v>48</v>
      </c>
      <c r="G11" t="str">
        <f ca="1"/>
        <v>Hiperzz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Chos3n</v>
      </c>
      <c r="E12" t="str">
        <f ca="1"/>
        <v>Zofia</v>
      </c>
      <c r="F12">
        <f ca="1"/>
        <v>34</v>
      </c>
      <c r="G12" t="str">
        <f ca="1"/>
        <v>Saryz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Chos3n</v>
      </c>
      <c r="E13" t="str">
        <f ca="1"/>
        <v>Jackal</v>
      </c>
      <c r="F13">
        <f ca="1"/>
        <v>136</v>
      </c>
      <c r="G13" t="str">
        <f ca="1"/>
        <v>Saryz</v>
      </c>
      <c r="H13" t="b">
        <f ca="1"/>
        <v>0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1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1</v>
      </c>
      <c r="T13" t="b">
        <f ca="1"/>
        <v>1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UNKNOWN</v>
      </c>
      <c r="AA13" t="b">
        <f ca="1"/>
        <v>0</v>
      </c>
      <c r="AB13" t="str">
        <f ca="1"/>
        <v>Hiperzz</v>
      </c>
      <c r="AC13">
        <f ca="1"/>
        <v>124</v>
      </c>
      <c r="AD13" t="b">
        <f ca="1"/>
        <v>0</v>
      </c>
      <c r="AE13" t="b">
        <f ca="1"/>
        <v>1</v>
      </c>
      <c r="AF13" t="b">
        <f ca="1"/>
        <v>0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Chos3n</v>
      </c>
      <c r="E14" t="str">
        <f ca="1"/>
        <v>Flores</v>
      </c>
      <c r="F14" t="b">
        <f ca="1"/>
        <v>0</v>
      </c>
      <c r="G14" t="b">
        <f ca="1"/>
        <v>0</v>
      </c>
      <c r="H14" t="str">
        <f ca="1"/>
        <v>N/A</v>
      </c>
      <c r="I14" t="str">
        <f ca="1"/>
        <v>N/A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3</v>
      </c>
      <c r="P14">
        <f ca="1"/>
        <v>2</v>
      </c>
      <c r="Q14">
        <f ca="1"/>
        <v>0</v>
      </c>
      <c r="R14">
        <f ca="1"/>
        <v>0</v>
      </c>
      <c r="S14" t="b">
        <f ca="1"/>
        <v>0</v>
      </c>
      <c r="T14" t="b">
        <f ca="1"/>
        <v>1</v>
      </c>
      <c r="U14">
        <f ca="1"/>
        <v>13</v>
      </c>
      <c r="V14" t="b">
        <f ca="1"/>
        <v>1</v>
      </c>
      <c r="W14" t="b">
        <f ca="1"/>
        <v>1</v>
      </c>
      <c r="X14" t="b">
        <f ca="1"/>
        <v>1</v>
      </c>
      <c r="Y14" t="b">
        <f ca="1"/>
        <v>1</v>
      </c>
      <c r="Z14" t="str">
        <f ca="1"/>
        <v>UNKNOWN</v>
      </c>
      <c r="AA14" t="b">
        <f ca="1"/>
        <v>0</v>
      </c>
      <c r="AB14" t="str">
        <f ca="1"/>
        <v>Hiperzz</v>
      </c>
      <c r="AC14">
        <f ca="1"/>
        <v>88</v>
      </c>
      <c r="AD14" t="b">
        <f ca="1"/>
        <v>0</v>
      </c>
      <c r="AE14" t="b">
        <f ca="1"/>
        <v>1</v>
      </c>
      <c r="AF14" t="b">
        <f ca="1"/>
        <v>0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UNKNOWN</v>
      </c>
      <c r="AV14" t="b">
        <f ca="1"/>
        <v>0</v>
      </c>
      <c r="AW14" t="str">
        <f ca="1"/>
        <v>Rye</v>
      </c>
      <c r="AX14">
        <f ca="1"/>
        <v>137</v>
      </c>
      <c r="AY14" t="b">
        <f ca="1"/>
        <v>0</v>
      </c>
      <c r="AZ14" t="b">
        <f ca="1"/>
        <v>1</v>
      </c>
      <c r="BA14" t="b">
        <f ca="1"/>
        <v>0</v>
      </c>
      <c r="BB14" t="str">
        <f ca="1"/>
        <v>UNKNOWN</v>
      </c>
      <c r="BC14" t="b">
        <f ca="1"/>
        <v>0</v>
      </c>
      <c r="BD14" t="str">
        <f ca="1"/>
        <v>Saryz</v>
      </c>
      <c r="BE14">
        <f ca="1"/>
        <v>146</v>
      </c>
      <c r="BF14" t="b">
        <f ca="1"/>
        <v>0</v>
      </c>
      <c r="BG14" t="b">
        <f ca="1"/>
        <v>0</v>
      </c>
      <c r="BH14" t="b">
        <f ca="1"/>
        <v>0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Chos3n</v>
      </c>
      <c r="E15" t="str">
        <f ca="1"/>
        <v>Lesion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UNKNOWN</v>
      </c>
      <c r="AO15" t="b">
        <f ca="1"/>
        <v>0</v>
      </c>
      <c r="AP15" t="str">
        <f ca="1"/>
        <v>Hiperzz</v>
      </c>
      <c r="AQ15">
        <f ca="1"/>
        <v>128</v>
      </c>
      <c r="AR15" t="b">
        <f ca="1"/>
        <v>0</v>
      </c>
      <c r="AS15" t="b">
        <f ca="1"/>
        <v>0</v>
      </c>
      <c r="AT15" t="b">
        <f ca="1"/>
        <v>0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5"/>
  <sheetViews>
    <sheetView zoomScale="70" zoomScaleNormal="7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pulloverall(REF!A10:A18,REF!A4,REF!A2:A7,REF!B2)</f>
        <v>8_22 Clubhouse_1</v>
      </c>
      <c r="B2">
        <f ca="1"/>
        <v>1</v>
      </c>
      <c r="C2" t="str">
        <f ca="1"/>
        <v>Defense</v>
      </c>
      <c r="D2" t="str">
        <f ca="1"/>
        <v>Ozone</v>
      </c>
      <c r="E2" t="str">
        <f ca="1"/>
        <v>Mozzie</v>
      </c>
      <c r="F2">
        <f ca="1"/>
        <v>60</v>
      </c>
      <c r="G2" t="str">
        <f ca="1"/>
        <v>Hiperzz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Ozone</v>
      </c>
      <c r="E3" t="str">
        <f ca="1"/>
        <v>Lesion</v>
      </c>
      <c r="F3">
        <f ca="1"/>
        <v>137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Ozone</v>
      </c>
      <c r="E4" t="str">
        <f ca="1"/>
        <v>Melusi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1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Hiperzz</v>
      </c>
      <c r="AC4">
        <f ca="1"/>
        <v>45</v>
      </c>
      <c r="AD4" t="b">
        <f ca="1"/>
        <v>0</v>
      </c>
      <c r="AE4" t="b">
        <f ca="1"/>
        <v>1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Ozone</v>
      </c>
      <c r="E5" t="str">
        <f ca="1"/>
        <v>Lesion</v>
      </c>
      <c r="F5">
        <f ca="1"/>
        <v>60</v>
      </c>
      <c r="G5" t="str">
        <f ca="1"/>
        <v>Rye</v>
      </c>
      <c r="H5" t="b">
        <f ca="1"/>
        <v>0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1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0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Ozone</v>
      </c>
      <c r="E6" t="str">
        <f ca="1"/>
        <v>Lesion</v>
      </c>
      <c r="F6">
        <f ca="1"/>
        <v>167</v>
      </c>
      <c r="G6" t="str">
        <f ca="1"/>
        <v>Lakqi</v>
      </c>
      <c r="H6" t="b">
        <f ca="1"/>
        <v>1</v>
      </c>
      <c r="I6" t="b">
        <f ca="1"/>
        <v>1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1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1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UNKNOWN</v>
      </c>
      <c r="AA6" t="b">
        <f ca="1"/>
        <v>0</v>
      </c>
      <c r="AB6" t="str">
        <f ca="1"/>
        <v>Hiperzz</v>
      </c>
      <c r="AC6">
        <f ca="1"/>
        <v>58</v>
      </c>
      <c r="AD6" t="b">
        <f ca="1"/>
        <v>0</v>
      </c>
      <c r="AE6" t="b">
        <f ca="1"/>
        <v>0</v>
      </c>
      <c r="AF6" t="b">
        <f ca="1"/>
        <v>0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Ozone</v>
      </c>
      <c r="E7" t="str">
        <f ca="1"/>
        <v>Melusi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Lakqi</v>
      </c>
      <c r="AC7">
        <f ca="1"/>
        <v>16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Ozone</v>
      </c>
      <c r="E8" t="str">
        <f ca="1"/>
        <v>Zofia</v>
      </c>
      <c r="F8">
        <f ca="1"/>
        <v>172</v>
      </c>
      <c r="G8" t="str">
        <f ca="1"/>
        <v>Rye</v>
      </c>
      <c r="H8" t="b">
        <f ca="1"/>
        <v>0</v>
      </c>
      <c r="I8" t="b">
        <f ca="1"/>
        <v>0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UNKNOWN</v>
      </c>
      <c r="AO8" t="b">
        <f ca="1"/>
        <v>0</v>
      </c>
      <c r="AP8" t="str">
        <f ca="1"/>
        <v>Hiperzz</v>
      </c>
      <c r="AQ8">
        <f ca="1"/>
        <v>120</v>
      </c>
      <c r="AR8" t="b">
        <f ca="1"/>
        <v>0</v>
      </c>
      <c r="AS8" t="b">
        <f ca="1"/>
        <v>0</v>
      </c>
      <c r="AT8" t="b">
        <f ca="1"/>
        <v>0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Ozone</v>
      </c>
      <c r="E9" t="str">
        <f ca="1"/>
        <v>Ace</v>
      </c>
      <c r="F9">
        <f ca="1"/>
        <v>43</v>
      </c>
      <c r="G9" t="str">
        <f ca="1"/>
        <v>Hox</v>
      </c>
      <c r="H9" t="b">
        <f ca="1"/>
        <v>1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1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Ozone</v>
      </c>
      <c r="E10" t="str">
        <f ca="1"/>
        <v>Ace</v>
      </c>
      <c r="F10">
        <f ca="1"/>
        <v>164</v>
      </c>
      <c r="G10" t="str">
        <f ca="1"/>
        <v>Hox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Ozone</v>
      </c>
      <c r="E11" t="str">
        <f ca="1"/>
        <v>Ace</v>
      </c>
      <c r="F11">
        <f ca="1"/>
        <v>154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1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1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Saryz</v>
      </c>
      <c r="AQ11">
        <f ca="1"/>
        <v>128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Ozone</v>
      </c>
      <c r="E12" t="str">
        <f ca="1"/>
        <v>Ace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Ozone</v>
      </c>
      <c r="E13" t="str">
        <f ca="1"/>
        <v>Ace</v>
      </c>
      <c r="F13">
        <f ca="1"/>
        <v>146</v>
      </c>
      <c r="G13" t="str">
        <f ca="1"/>
        <v>Rye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0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Ozone</v>
      </c>
      <c r="E14" t="str">
        <f ca="1"/>
        <v>Zofia</v>
      </c>
      <c r="F14">
        <f ca="1"/>
        <v>164</v>
      </c>
      <c r="G14" t="str">
        <f ca="1"/>
        <v>Rye</v>
      </c>
      <c r="H14" t="b">
        <f ca="1"/>
        <v>0</v>
      </c>
      <c r="I14" t="b">
        <f ca="1"/>
        <v>0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1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UNKNOWN</v>
      </c>
      <c r="AO14" t="b">
        <f ca="1"/>
        <v>0</v>
      </c>
      <c r="AP14" t="str">
        <f ca="1"/>
        <v>Lakqi</v>
      </c>
      <c r="AQ14">
        <f ca="1"/>
        <v>152</v>
      </c>
      <c r="AR14" t="b">
        <f ca="1"/>
        <v>0</v>
      </c>
      <c r="AS14" t="b">
        <f ca="1"/>
        <v>0</v>
      </c>
      <c r="AT14" t="b">
        <f ca="1"/>
        <v>0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Ozone</v>
      </c>
      <c r="E15" t="str">
        <f ca="1"/>
        <v>Melusi</v>
      </c>
      <c r="F15">
        <f ca="1"/>
        <v>119</v>
      </c>
      <c r="G15" t="str">
        <f ca="1"/>
        <v>Hiperzz</v>
      </c>
      <c r="H15" t="b">
        <f ca="1"/>
        <v>0</v>
      </c>
      <c r="I15" t="b">
        <f ca="1"/>
        <v>1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1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UNKNOWN</v>
      </c>
      <c r="AA15" t="b">
        <f ca="1"/>
        <v>0</v>
      </c>
      <c r="AB15" t="str">
        <f ca="1"/>
        <v>Lakqi</v>
      </c>
      <c r="AC15">
        <f ca="1"/>
        <v>114</v>
      </c>
      <c r="AD15" t="b">
        <f ca="1"/>
        <v>0</v>
      </c>
      <c r="AE15" t="b">
        <f ca="1"/>
        <v>1</v>
      </c>
      <c r="AF15" t="b">
        <f ca="1"/>
        <v>1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5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pulloverall(REF!A10:A18,REF!A5,REF!A2:A7,REF!B2)</f>
        <v>8_22 Clubhouse_1</v>
      </c>
      <c r="B2">
        <f ca="1"/>
        <v>1</v>
      </c>
      <c r="C2" t="str">
        <f ca="1"/>
        <v>Defense</v>
      </c>
      <c r="D2" t="str">
        <f ca="1"/>
        <v>Krypticz</v>
      </c>
      <c r="E2" t="str">
        <f ca="1"/>
        <v>Smoke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2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Hiperzz</v>
      </c>
      <c r="AJ2">
        <f ca="1"/>
        <v>124</v>
      </c>
      <c r="AK2" t="b">
        <f ca="1"/>
        <v>0</v>
      </c>
      <c r="AL2" t="b">
        <f ca="1"/>
        <v>1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UNKNOWN</v>
      </c>
      <c r="AV2" t="b">
        <f ca="1"/>
        <v>0</v>
      </c>
      <c r="AW2" t="str">
        <f ca="1"/>
        <v>Hox</v>
      </c>
      <c r="AX2">
        <f ca="1"/>
        <v>175</v>
      </c>
      <c r="AY2" t="b">
        <f ca="1"/>
        <v>0</v>
      </c>
      <c r="AZ2" t="b">
        <f ca="1"/>
        <v>0</v>
      </c>
      <c r="BA2" t="b">
        <f ca="1"/>
        <v>0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Krypticz</v>
      </c>
      <c r="E3" t="str">
        <f ca="1"/>
        <v>Alibi</v>
      </c>
      <c r="F3">
        <f ca="1"/>
        <v>79</v>
      </c>
      <c r="G3" t="str">
        <f ca="1"/>
        <v>Hiperzz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Krypticz</v>
      </c>
      <c r="E4" t="str">
        <f ca="1"/>
        <v>Mute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UNKNOWN</v>
      </c>
      <c r="AO4" t="b">
        <f ca="1"/>
        <v>0</v>
      </c>
      <c r="AP4" t="str">
        <f ca="1"/>
        <v>Rye</v>
      </c>
      <c r="AQ4">
        <f ca="1"/>
        <v>121</v>
      </c>
      <c r="AR4" t="b">
        <f ca="1"/>
        <v>0</v>
      </c>
      <c r="AS4" t="b">
        <f ca="1"/>
        <v>1</v>
      </c>
      <c r="AT4" t="b">
        <f ca="1"/>
        <v>0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Krypticz</v>
      </c>
      <c r="E5" t="str">
        <f ca="1"/>
        <v>Smoke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Krypticz</v>
      </c>
      <c r="E6" t="str">
        <f ca="1"/>
        <v>Wamai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Krypticz</v>
      </c>
      <c r="E7" t="str">
        <f ca="1"/>
        <v>Mute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Krypticz</v>
      </c>
      <c r="E8" t="str">
        <f ca="1"/>
        <v>Sledge</v>
      </c>
      <c r="F8">
        <f ca="1"/>
        <v>98</v>
      </c>
      <c r="G8" t="str">
        <f ca="1"/>
        <v>Hiperzz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Krypticz</v>
      </c>
      <c r="E9" t="str">
        <f ca="1"/>
        <v>Sledge</v>
      </c>
      <c r="F9">
        <f ca="1"/>
        <v>46</v>
      </c>
      <c r="G9" t="str">
        <f ca="1"/>
        <v>Saryz</v>
      </c>
      <c r="H9" t="b">
        <f ca="1"/>
        <v>0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2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Rye</v>
      </c>
      <c r="AC9">
        <f ca="1"/>
        <v>44</v>
      </c>
      <c r="AD9" t="b">
        <f ca="1"/>
        <v>0</v>
      </c>
      <c r="AE9" t="b">
        <f ca="1"/>
        <v>0</v>
      </c>
      <c r="AF9" t="b">
        <f ca="1"/>
        <v>1</v>
      </c>
      <c r="AG9" t="str">
        <f ca="1"/>
        <v>UNKNOWN</v>
      </c>
      <c r="AH9" t="b">
        <f ca="1"/>
        <v>0</v>
      </c>
      <c r="AI9" t="str">
        <f ca="1"/>
        <v>Hox</v>
      </c>
      <c r="AJ9">
        <f ca="1"/>
        <v>45</v>
      </c>
      <c r="AK9" t="b">
        <f ca="1"/>
        <v>0</v>
      </c>
      <c r="AL9" t="b">
        <f ca="1"/>
        <v>0</v>
      </c>
      <c r="AM9" t="b">
        <f ca="1"/>
        <v>1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Krypticz</v>
      </c>
      <c r="E10" t="str">
        <f ca="1"/>
        <v>Zofia</v>
      </c>
      <c r="F10">
        <f ca="1"/>
        <v>170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Krypticz</v>
      </c>
      <c r="E11" t="str">
        <f ca="1"/>
        <v>Nokk</v>
      </c>
      <c r="F11">
        <f ca="1"/>
        <v>86</v>
      </c>
      <c r="G11" t="str">
        <f ca="1"/>
        <v>Saryz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Lakqi</v>
      </c>
      <c r="AC11">
        <f ca="1"/>
        <v>36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UNKNOWN</v>
      </c>
      <c r="AH11" t="b">
        <f ca="1"/>
        <v>0</v>
      </c>
      <c r="AI11" t="str">
        <f ca="1"/>
        <v>Hiperzz</v>
      </c>
      <c r="AJ11">
        <f ca="1"/>
        <v>65</v>
      </c>
      <c r="AK11" t="b">
        <f ca="1"/>
        <v>0</v>
      </c>
      <c r="AL11" t="b">
        <f ca="1"/>
        <v>0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Krypticz</v>
      </c>
      <c r="E12" t="str">
        <f ca="1"/>
        <v>Sledge</v>
      </c>
      <c r="F12">
        <f ca="1"/>
        <v>17</v>
      </c>
      <c r="G12" t="str">
        <f ca="1"/>
        <v>Lakqi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Krypticz</v>
      </c>
      <c r="E13" t="str">
        <f ca="1"/>
        <v>Nokk</v>
      </c>
      <c r="F13">
        <f ca="1"/>
        <v>179</v>
      </c>
      <c r="G13" t="str">
        <f ca="1"/>
        <v>Hox</v>
      </c>
      <c r="H13" t="b">
        <f ca="1"/>
        <v>0</v>
      </c>
      <c r="I13" t="b">
        <f ca="1"/>
        <v>0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1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NOLOC</v>
      </c>
      <c r="AH13" t="b">
        <f ca="1"/>
        <v>0</v>
      </c>
      <c r="AI13" t="b">
        <f ca="1"/>
        <v>0</v>
      </c>
      <c r="AJ13" t="b">
        <f ca="1"/>
        <v>0</v>
      </c>
      <c r="AK13" t="b">
        <f ca="1"/>
        <v>0</v>
      </c>
      <c r="AL13" t="b">
        <f ca="1"/>
        <v>0</v>
      </c>
      <c r="AM13" t="str">
        <f ca="1"/>
        <v>N/A</v>
      </c>
      <c r="AN13" t="str">
        <f ca="1"/>
        <v>UNKNOWN</v>
      </c>
      <c r="AO13" t="b">
        <f ca="1"/>
        <v>0</v>
      </c>
      <c r="AP13" t="str">
        <f ca="1"/>
        <v>Lakqi</v>
      </c>
      <c r="AQ13">
        <f ca="1"/>
        <v>149</v>
      </c>
      <c r="AR13" t="b">
        <f ca="1"/>
        <v>0</v>
      </c>
      <c r="AS13" t="b">
        <f ca="1"/>
        <v>1</v>
      </c>
      <c r="AT13" t="b">
        <f ca="1"/>
        <v>0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Krypticz</v>
      </c>
      <c r="E14" t="str">
        <f ca="1"/>
        <v>Sledge</v>
      </c>
      <c r="F14">
        <f ca="1"/>
        <v>77</v>
      </c>
      <c r="G14" t="str">
        <f ca="1"/>
        <v>Hiperzz</v>
      </c>
      <c r="H14" t="b">
        <f ca="1"/>
        <v>0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1</v>
      </c>
      <c r="M14" t="b">
        <f ca="1"/>
        <v>1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Krypticz</v>
      </c>
      <c r="E15" t="str">
        <f ca="1"/>
        <v>Mute</v>
      </c>
      <c r="F15" t="b">
        <f ca="1"/>
        <v>0</v>
      </c>
      <c r="G15" t="b">
        <f ca="1"/>
        <v>0</v>
      </c>
      <c r="H15" t="str">
        <f ca="1"/>
        <v>N/A</v>
      </c>
      <c r="I15" t="str">
        <f ca="1"/>
        <v>N/A</v>
      </c>
      <c r="J15" t="b">
        <f ca="1"/>
        <v>0</v>
      </c>
      <c r="K15" t="str">
        <f ca="1"/>
        <v>NOLOC</v>
      </c>
      <c r="L15" t="b">
        <f ca="1"/>
        <v>0</v>
      </c>
      <c r="M15" t="b">
        <f ca="1"/>
        <v>0</v>
      </c>
      <c r="N15">
        <f ca="1"/>
        <v>14</v>
      </c>
      <c r="O15">
        <f ca="1"/>
        <v>1</v>
      </c>
      <c r="P15">
        <f ca="1"/>
        <v>1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1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UNKNOWN</v>
      </c>
      <c r="AH15" t="b">
        <f ca="1"/>
        <v>0</v>
      </c>
      <c r="AI15" t="str">
        <f ca="1"/>
        <v>Saryz</v>
      </c>
      <c r="AJ15">
        <f ca="1"/>
        <v>127</v>
      </c>
      <c r="AK15" t="b">
        <f ca="1"/>
        <v>0</v>
      </c>
      <c r="AL15" t="b">
        <f ca="1"/>
        <v>1</v>
      </c>
      <c r="AM15" t="b">
        <f ca="1"/>
        <v>0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5"/>
  <sheetViews>
    <sheetView zoomScale="55" zoomScaleNormal="55" workbookViewId="0">
      <selection sqref="A1:BQ1"/>
    </sheetView>
  </sheetViews>
  <sheetFormatPr defaultRowHeight="15" x14ac:dyDescent="0.25"/>
  <sheetData>
    <row r="1" spans="1:69" x14ac:dyDescent="0.25">
      <c r="A1" s="49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1" t="s">
        <v>62</v>
      </c>
      <c r="H1" s="51" t="s">
        <v>219</v>
      </c>
      <c r="I1" s="51" t="s">
        <v>220</v>
      </c>
      <c r="J1" s="51" t="s">
        <v>221</v>
      </c>
      <c r="K1" s="51" t="s">
        <v>245</v>
      </c>
      <c r="L1" s="51" t="s">
        <v>257</v>
      </c>
      <c r="M1" s="51" t="s">
        <v>258</v>
      </c>
      <c r="N1" s="52" t="s">
        <v>457</v>
      </c>
      <c r="O1" s="51" t="s">
        <v>9</v>
      </c>
      <c r="P1" s="51" t="s">
        <v>222</v>
      </c>
      <c r="Q1" s="51" t="s">
        <v>223</v>
      </c>
      <c r="R1" s="51" t="s">
        <v>246</v>
      </c>
      <c r="S1" s="51" t="s">
        <v>259</v>
      </c>
      <c r="T1" s="51" t="s">
        <v>260</v>
      </c>
      <c r="U1" s="52" t="s">
        <v>458</v>
      </c>
      <c r="V1" s="21" t="s">
        <v>324</v>
      </c>
      <c r="W1" s="51" t="s">
        <v>33</v>
      </c>
      <c r="X1" s="51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475</v>
      </c>
      <c r="AI1" s="21" t="s">
        <v>313</v>
      </c>
      <c r="AJ1" s="21" t="s">
        <v>314</v>
      </c>
      <c r="AK1" s="21" t="s">
        <v>474</v>
      </c>
      <c r="AL1" s="21" t="s">
        <v>473</v>
      </c>
      <c r="AM1" s="21" t="s">
        <v>472</v>
      </c>
      <c r="AN1" s="13" t="s">
        <v>63</v>
      </c>
      <c r="AO1" s="13" t="s">
        <v>471</v>
      </c>
      <c r="AP1" s="13" t="s">
        <v>315</v>
      </c>
      <c r="AQ1" s="13" t="s">
        <v>316</v>
      </c>
      <c r="AR1" s="13" t="s">
        <v>470</v>
      </c>
      <c r="AS1" s="13" t="s">
        <v>469</v>
      </c>
      <c r="AT1" s="13" t="s">
        <v>468</v>
      </c>
      <c r="AU1" s="21" t="s">
        <v>64</v>
      </c>
      <c r="AV1" s="21" t="s">
        <v>467</v>
      </c>
      <c r="AW1" s="21" t="s">
        <v>317</v>
      </c>
      <c r="AX1" s="21" t="s">
        <v>318</v>
      </c>
      <c r="AY1" s="21" t="s">
        <v>466</v>
      </c>
      <c r="AZ1" s="21" t="s">
        <v>465</v>
      </c>
      <c r="BA1" s="21" t="s">
        <v>464</v>
      </c>
      <c r="BB1" s="13" t="s">
        <v>65</v>
      </c>
      <c r="BC1" s="13" t="s">
        <v>463</v>
      </c>
      <c r="BD1" s="13" t="s">
        <v>319</v>
      </c>
      <c r="BE1" s="13" t="s">
        <v>320</v>
      </c>
      <c r="BF1" s="13" t="s">
        <v>461</v>
      </c>
      <c r="BG1" s="13" t="s">
        <v>460</v>
      </c>
      <c r="BH1" s="13" t="s">
        <v>462</v>
      </c>
      <c r="BI1" s="16" t="s">
        <v>459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5" ca="1">pulloverall(REF!A10:A18,REF!A6,REF!A2:A7,REF!B2)</f>
        <v>8_22 Clubhouse_1</v>
      </c>
      <c r="B2">
        <f ca="1"/>
        <v>1</v>
      </c>
      <c r="C2" t="str">
        <f ca="1"/>
        <v>Defense</v>
      </c>
      <c r="D2" t="str">
        <f ca="1"/>
        <v>Aggro</v>
      </c>
      <c r="E2" t="str">
        <f ca="1"/>
        <v>Melusi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UNKNOWN</v>
      </c>
      <c r="BC2" t="b">
        <f ca="1"/>
        <v>0</v>
      </c>
      <c r="BD2" t="str">
        <f ca="1"/>
        <v>Lakqi</v>
      </c>
      <c r="BE2">
        <f ca="1"/>
        <v>175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str">
        <f ca="1"/>
        <v/>
      </c>
      <c r="BQ2" t="str">
        <f ca="1"/>
        <v/>
      </c>
    </row>
    <row r="3" spans="1:69" x14ac:dyDescent="0.25">
      <c r="A3" t="str">
        <f ca="1"/>
        <v>8_22 Clubhouse_1</v>
      </c>
      <c r="B3">
        <f ca="1"/>
        <v>2</v>
      </c>
      <c r="C3" t="str">
        <f ca="1"/>
        <v>Defense</v>
      </c>
      <c r="D3" t="str">
        <f ca="1"/>
        <v>Aggro</v>
      </c>
      <c r="E3" t="str">
        <f ca="1"/>
        <v>Oryx</v>
      </c>
      <c r="F3">
        <f ca="1"/>
        <v>138</v>
      </c>
      <c r="G3" t="str">
        <f ca="1"/>
        <v>Rye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1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str">
        <f ca="1"/>
        <v/>
      </c>
      <c r="BQ3" t="str">
        <f ca="1"/>
        <v/>
      </c>
    </row>
    <row r="4" spans="1:69" x14ac:dyDescent="0.25">
      <c r="A4" t="str">
        <f ca="1"/>
        <v>8_22 Clubhouse_1</v>
      </c>
      <c r="B4">
        <f ca="1"/>
        <v>3</v>
      </c>
      <c r="C4" t="str">
        <f ca="1"/>
        <v>Defense</v>
      </c>
      <c r="D4" t="str">
        <f ca="1"/>
        <v>Aggro</v>
      </c>
      <c r="E4" t="str">
        <f ca="1"/>
        <v>Pulse</v>
      </c>
      <c r="F4" t="b">
        <f ca="1"/>
        <v>0</v>
      </c>
      <c r="G4" t="b">
        <f ca="1"/>
        <v>0</v>
      </c>
      <c r="H4" t="str">
        <f ca="1"/>
        <v>N/A</v>
      </c>
      <c r="I4" t="str">
        <f ca="1"/>
        <v>N/A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1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1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UNKNOWN</v>
      </c>
      <c r="AH4" t="b">
        <f ca="1"/>
        <v>0</v>
      </c>
      <c r="AI4" t="str">
        <f ca="1"/>
        <v>Lakqi</v>
      </c>
      <c r="AJ4">
        <f ca="1"/>
        <v>78</v>
      </c>
      <c r="AK4" t="b">
        <f ca="1"/>
        <v>0</v>
      </c>
      <c r="AL4" t="b">
        <f ca="1"/>
        <v>1</v>
      </c>
      <c r="AM4" t="b">
        <f ca="1"/>
        <v>0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str">
        <f ca="1"/>
        <v/>
      </c>
      <c r="BQ4" t="str">
        <f ca="1"/>
        <v/>
      </c>
    </row>
    <row r="5" spans="1:69" x14ac:dyDescent="0.25">
      <c r="A5" t="str">
        <f ca="1"/>
        <v>8_22 Clubhouse_1</v>
      </c>
      <c r="B5">
        <f ca="1"/>
        <v>4</v>
      </c>
      <c r="C5" t="str">
        <f ca="1"/>
        <v>Defense</v>
      </c>
      <c r="D5" t="str">
        <f ca="1"/>
        <v>Aggro</v>
      </c>
      <c r="E5" t="str">
        <f ca="1"/>
        <v>Melusi</v>
      </c>
      <c r="F5">
        <f ca="1"/>
        <v>178</v>
      </c>
      <c r="G5" t="str">
        <f ca="1"/>
        <v>Rye</v>
      </c>
      <c r="H5" t="b">
        <f ca="1"/>
        <v>1</v>
      </c>
      <c r="I5" t="b">
        <f ca="1"/>
        <v>0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3</v>
      </c>
      <c r="Q5">
        <f ca="1"/>
        <v>0</v>
      </c>
      <c r="R5">
        <f ca="1"/>
        <v>0</v>
      </c>
      <c r="S5" t="b">
        <f ca="1"/>
        <v>1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0</v>
      </c>
      <c r="AB5" t="str">
        <f ca="1"/>
        <v>Hiperzz</v>
      </c>
      <c r="AC5">
        <f ca="1"/>
        <v>46</v>
      </c>
      <c r="AD5" t="b">
        <f ca="1"/>
        <v>0</v>
      </c>
      <c r="AE5" t="b">
        <f ca="1"/>
        <v>1</v>
      </c>
      <c r="AF5" t="b">
        <f ca="1"/>
        <v>0</v>
      </c>
      <c r="AG5" t="str">
        <f ca="1"/>
        <v>UNKNOWN</v>
      </c>
      <c r="AH5" t="b">
        <f ca="1"/>
        <v>0</v>
      </c>
      <c r="AI5" t="str">
        <f ca="1"/>
        <v>Lakqi</v>
      </c>
      <c r="AJ5">
        <f ca="1"/>
        <v>57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UNKNOWN</v>
      </c>
      <c r="AO5" t="b">
        <f ca="1"/>
        <v>0</v>
      </c>
      <c r="AP5" t="str">
        <f ca="1"/>
        <v>Hox</v>
      </c>
      <c r="AQ5">
        <f ca="1"/>
        <v>173</v>
      </c>
      <c r="AR5" t="b">
        <f ca="1"/>
        <v>0</v>
      </c>
      <c r="AS5" t="b">
        <f ca="1"/>
        <v>1</v>
      </c>
      <c r="AT5" t="b">
        <f ca="1"/>
        <v>1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str">
        <f ca="1"/>
        <v/>
      </c>
      <c r="BQ5" t="str">
        <f ca="1"/>
        <v/>
      </c>
    </row>
    <row r="6" spans="1:69" x14ac:dyDescent="0.25">
      <c r="A6" t="str">
        <f ca="1"/>
        <v>8_22 Clubhouse_1</v>
      </c>
      <c r="B6">
        <f ca="1"/>
        <v>5</v>
      </c>
      <c r="C6" t="str">
        <f ca="1"/>
        <v>Defense</v>
      </c>
      <c r="D6" t="str">
        <f ca="1"/>
        <v>Aggro</v>
      </c>
      <c r="E6" t="str">
        <f ca="1"/>
        <v>Oryx</v>
      </c>
      <c r="F6" t="b">
        <f ca="1"/>
        <v>0</v>
      </c>
      <c r="G6" t="b">
        <f ca="1"/>
        <v>0</v>
      </c>
      <c r="H6" t="str">
        <f ca="1"/>
        <v>N/A</v>
      </c>
      <c r="I6" t="str">
        <f ca="1"/>
        <v>N/A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4</v>
      </c>
      <c r="P6">
        <f ca="1"/>
        <v>2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1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UNKNOWN</v>
      </c>
      <c r="AH6" t="b">
        <f ca="1"/>
        <v>0</v>
      </c>
      <c r="AI6" t="str">
        <f ca="1"/>
        <v>Hox</v>
      </c>
      <c r="AJ6">
        <f ca="1"/>
        <v>126</v>
      </c>
      <c r="AK6" t="b">
        <f ca="1"/>
        <v>0</v>
      </c>
      <c r="AL6" t="b">
        <f ca="1"/>
        <v>1</v>
      </c>
      <c r="AM6" t="b">
        <f ca="1"/>
        <v>0</v>
      </c>
      <c r="AN6" t="str">
        <f ca="1"/>
        <v>UNKNOWN</v>
      </c>
      <c r="AO6" t="b">
        <f ca="1"/>
        <v>0</v>
      </c>
      <c r="AP6" t="str">
        <f ca="1"/>
        <v>Saryz</v>
      </c>
      <c r="AQ6">
        <f ca="1"/>
        <v>159</v>
      </c>
      <c r="AR6" t="b">
        <f ca="1"/>
        <v>0</v>
      </c>
      <c r="AS6" t="b">
        <f ca="1"/>
        <v>0</v>
      </c>
      <c r="AT6" t="b">
        <f ca="1"/>
        <v>0</v>
      </c>
      <c r="AU6" t="str">
        <f ca="1"/>
        <v>UNKNOWN</v>
      </c>
      <c r="AV6" t="b">
        <f ca="1"/>
        <v>0</v>
      </c>
      <c r="AW6" t="str">
        <f ca="1"/>
        <v>Rye</v>
      </c>
      <c r="AX6">
        <f ca="1"/>
        <v>169</v>
      </c>
      <c r="AY6" t="b">
        <f ca="1"/>
        <v>0</v>
      </c>
      <c r="AZ6" t="b">
        <f ca="1"/>
        <v>0</v>
      </c>
      <c r="BA6" t="b">
        <f ca="1"/>
        <v>0</v>
      </c>
      <c r="BB6" t="str">
        <f ca="1"/>
        <v>UNKNOWN</v>
      </c>
      <c r="BC6" t="b">
        <f ca="1"/>
        <v>0</v>
      </c>
      <c r="BD6" t="str">
        <f ca="1"/>
        <v>Lakqi</v>
      </c>
      <c r="BE6">
        <f ca="1"/>
        <v>177</v>
      </c>
      <c r="BF6" t="b">
        <f ca="1"/>
        <v>0</v>
      </c>
      <c r="BG6" t="b">
        <f ca="1"/>
        <v>1</v>
      </c>
      <c r="BH6" t="b">
        <f ca="1"/>
        <v>0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str">
        <f ca="1"/>
        <v/>
      </c>
      <c r="BQ6" t="str">
        <f ca="1"/>
        <v/>
      </c>
    </row>
    <row r="7" spans="1:69" x14ac:dyDescent="0.25">
      <c r="A7" t="str">
        <f ca="1"/>
        <v>8_22 Clubhouse_1</v>
      </c>
      <c r="B7">
        <f ca="1"/>
        <v>6</v>
      </c>
      <c r="C7" t="str">
        <f ca="1"/>
        <v>Defense</v>
      </c>
      <c r="D7" t="str">
        <f ca="1"/>
        <v>Aggro</v>
      </c>
      <c r="E7" t="str">
        <f ca="1"/>
        <v>Pulse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str">
        <f ca="1"/>
        <v/>
      </c>
      <c r="BQ7" t="str">
        <f ca="1"/>
        <v/>
      </c>
    </row>
    <row r="8" spans="1:69" x14ac:dyDescent="0.25">
      <c r="A8" t="str">
        <f ca="1"/>
        <v>8_22 Clubhouse_1</v>
      </c>
      <c r="B8">
        <f ca="1"/>
        <v>7</v>
      </c>
      <c r="C8" t="str">
        <f ca="1"/>
        <v>Attack</v>
      </c>
      <c r="D8" t="str">
        <f ca="1"/>
        <v>Aggro</v>
      </c>
      <c r="E8" t="str">
        <f ca="1"/>
        <v>Nokk</v>
      </c>
      <c r="F8">
        <f ca="1"/>
        <v>77</v>
      </c>
      <c r="G8" t="str">
        <f ca="1"/>
        <v>Lakqi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b">
        <f ca="1"/>
        <v>0</v>
      </c>
      <c r="BQ8" t="b">
        <f ca="1"/>
        <v>0</v>
      </c>
    </row>
    <row r="9" spans="1:69" x14ac:dyDescent="0.25">
      <c r="A9" t="str">
        <f ca="1"/>
        <v>8_22 Clubhouse_1</v>
      </c>
      <c r="B9">
        <f ca="1"/>
        <v>8</v>
      </c>
      <c r="C9" t="str">
        <f ca="1"/>
        <v>Attack</v>
      </c>
      <c r="D9" t="str">
        <f ca="1"/>
        <v>Aggro</v>
      </c>
      <c r="E9" t="str">
        <f ca="1"/>
        <v>Lion</v>
      </c>
      <c r="F9">
        <f ca="1"/>
        <v>68</v>
      </c>
      <c r="G9" t="str">
        <f ca="1"/>
        <v>Lakqi</v>
      </c>
      <c r="H9" t="b">
        <f ca="1"/>
        <v>1</v>
      </c>
      <c r="I9" t="b">
        <f ca="1"/>
        <v>0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0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b">
        <f ca="1"/>
        <v>0</v>
      </c>
      <c r="BQ9" t="b">
        <f ca="1"/>
        <v>0</v>
      </c>
    </row>
    <row r="10" spans="1:69" x14ac:dyDescent="0.25">
      <c r="A10" t="str">
        <f ca="1"/>
        <v>8_22 Clubhouse_1</v>
      </c>
      <c r="B10">
        <f ca="1"/>
        <v>9</v>
      </c>
      <c r="C10" t="str">
        <f ca="1"/>
        <v>Attack</v>
      </c>
      <c r="D10" t="str">
        <f ca="1"/>
        <v>Aggro</v>
      </c>
      <c r="E10" t="str">
        <f ca="1"/>
        <v>Iq</v>
      </c>
      <c r="F10">
        <f ca="1"/>
        <v>149</v>
      </c>
      <c r="G10" t="str">
        <f ca="1"/>
        <v>Saryz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1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UNKNOWN</v>
      </c>
      <c r="AH10" t="b">
        <f ca="1"/>
        <v>0</v>
      </c>
      <c r="AI10" t="str">
        <f ca="1"/>
        <v>Lakqi</v>
      </c>
      <c r="AJ10">
        <f ca="1"/>
        <v>132</v>
      </c>
      <c r="AK10" t="b">
        <f ca="1"/>
        <v>0</v>
      </c>
      <c r="AL10" t="b">
        <f ca="1"/>
        <v>1</v>
      </c>
      <c r="AM10" t="b">
        <f ca="1"/>
        <v>0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b">
        <f ca="1"/>
        <v>0</v>
      </c>
      <c r="BQ10" t="b">
        <f ca="1"/>
        <v>0</v>
      </c>
    </row>
    <row r="11" spans="1:69" x14ac:dyDescent="0.25">
      <c r="A11" t="str">
        <f ca="1"/>
        <v>8_22 Clubhouse_1</v>
      </c>
      <c r="B11">
        <f ca="1"/>
        <v>10</v>
      </c>
      <c r="C11" t="str">
        <f ca="1"/>
        <v>Attack</v>
      </c>
      <c r="D11" t="str">
        <f ca="1"/>
        <v>Aggro</v>
      </c>
      <c r="E11" t="str">
        <f ca="1"/>
        <v>Lion</v>
      </c>
      <c r="F11">
        <f ca="1"/>
        <v>82</v>
      </c>
      <c r="G11" t="str">
        <f ca="1"/>
        <v>Rye</v>
      </c>
      <c r="H11" t="b">
        <f ca="1"/>
        <v>0</v>
      </c>
      <c r="I11" t="b">
        <f ca="1"/>
        <v>0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0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b">
        <f ca="1"/>
        <v>0</v>
      </c>
      <c r="BQ11" t="b">
        <f ca="1"/>
        <v>0</v>
      </c>
    </row>
    <row r="12" spans="1:69" x14ac:dyDescent="0.25">
      <c r="A12" t="str">
        <f ca="1"/>
        <v>8_22 Clubhouse_1</v>
      </c>
      <c r="B12">
        <f ca="1"/>
        <v>11</v>
      </c>
      <c r="C12" t="str">
        <f ca="1"/>
        <v>Attack</v>
      </c>
      <c r="D12" t="str">
        <f ca="1"/>
        <v>Aggro</v>
      </c>
      <c r="E12" t="str">
        <f ca="1"/>
        <v>Nomad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Hox</v>
      </c>
      <c r="BE12">
        <f ca="1"/>
        <v>96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b">
        <f ca="1"/>
        <v>0</v>
      </c>
      <c r="BQ12" t="b">
        <f ca="1"/>
        <v>0</v>
      </c>
    </row>
    <row r="13" spans="1:69" x14ac:dyDescent="0.25">
      <c r="A13" t="str">
        <f ca="1"/>
        <v>8_22 Clubhouse_1</v>
      </c>
      <c r="B13">
        <f ca="1"/>
        <v>12</v>
      </c>
      <c r="C13" t="str">
        <f ca="1"/>
        <v>Attack</v>
      </c>
      <c r="D13" t="str">
        <f ca="1"/>
        <v>Aggro</v>
      </c>
      <c r="E13" t="str">
        <f ca="1"/>
        <v>Lion</v>
      </c>
      <c r="F13">
        <f ca="1"/>
        <v>148</v>
      </c>
      <c r="G13" t="str">
        <f ca="1"/>
        <v>Lakqi</v>
      </c>
      <c r="H13" t="b">
        <f ca="1"/>
        <v>1</v>
      </c>
      <c r="I13" t="b">
        <f ca="1"/>
        <v>1</v>
      </c>
      <c r="J13" t="b">
        <f ca="1"/>
        <v>0</v>
      </c>
      <c r="K13" t="str">
        <f ca="1"/>
        <v>NOLOC</v>
      </c>
      <c r="L13" t="b">
        <f ca="1"/>
        <v>0</v>
      </c>
      <c r="M13" t="b">
        <f ca="1"/>
        <v>0</v>
      </c>
      <c r="N13">
        <f ca="1"/>
        <v>12</v>
      </c>
      <c r="O13">
        <f ca="1"/>
        <v>1</v>
      </c>
      <c r="P13">
        <f ca="1"/>
        <v>1</v>
      </c>
      <c r="Q13">
        <f ca="1"/>
        <v>0</v>
      </c>
      <c r="R13">
        <f ca="1"/>
        <v>0</v>
      </c>
      <c r="S13" t="b">
        <f ca="1"/>
        <v>0</v>
      </c>
      <c r="T13" t="b">
        <f ca="1"/>
        <v>0</v>
      </c>
      <c r="U13">
        <f ca="1"/>
        <v>12</v>
      </c>
      <c r="V13" t="b">
        <f ca="1"/>
        <v>0</v>
      </c>
      <c r="W13" t="b">
        <f ca="1"/>
        <v>1</v>
      </c>
      <c r="X13" t="b">
        <f ca="1"/>
        <v>0</v>
      </c>
      <c r="Y13" t="b">
        <f ca="1"/>
        <v>0</v>
      </c>
      <c r="Z13" t="str">
        <f ca="1"/>
        <v>NOLOC</v>
      </c>
      <c r="AA13" t="b">
        <f ca="1"/>
        <v>0</v>
      </c>
      <c r="AB13" t="b">
        <f ca="1"/>
        <v>0</v>
      </c>
      <c r="AC13" t="b">
        <f ca="1"/>
        <v>0</v>
      </c>
      <c r="AD13" t="b">
        <f ca="1"/>
        <v>0</v>
      </c>
      <c r="AE13" t="b">
        <f ca="1"/>
        <v>0</v>
      </c>
      <c r="AF13" t="str">
        <f ca="1"/>
        <v>N/A</v>
      </c>
      <c r="AG13" t="str">
        <f ca="1"/>
        <v>UNKNOWN</v>
      </c>
      <c r="AH13" t="b">
        <f ca="1"/>
        <v>0</v>
      </c>
      <c r="AI13" t="str">
        <f ca="1"/>
        <v>Saryz</v>
      </c>
      <c r="AJ13">
        <f ca="1"/>
        <v>142</v>
      </c>
      <c r="AK13" t="b">
        <f ca="1"/>
        <v>0</v>
      </c>
      <c r="AL13" t="b">
        <f ca="1"/>
        <v>1</v>
      </c>
      <c r="AM13" t="b">
        <f ca="1"/>
        <v>1</v>
      </c>
      <c r="AN13" t="str">
        <f ca="1"/>
        <v>NOLOC</v>
      </c>
      <c r="AO13" t="b">
        <f ca="1"/>
        <v>0</v>
      </c>
      <c r="AP13" t="b">
        <f ca="1"/>
        <v>0</v>
      </c>
      <c r="AQ13" t="b">
        <f ca="1"/>
        <v>0</v>
      </c>
      <c r="AR13" t="b">
        <f ca="1"/>
        <v>0</v>
      </c>
      <c r="AS13" t="b">
        <f ca="1"/>
        <v>0</v>
      </c>
      <c r="AT13" t="str">
        <f ca="1"/>
        <v>N/A</v>
      </c>
      <c r="AU13" t="str">
        <f ca="1"/>
        <v>NOLOC</v>
      </c>
      <c r="AV13" t="b">
        <f ca="1"/>
        <v>0</v>
      </c>
      <c r="AW13" t="b">
        <f ca="1"/>
        <v>0</v>
      </c>
      <c r="AX13" t="b">
        <f ca="1"/>
        <v>0</v>
      </c>
      <c r="AY13" t="b">
        <f ca="1"/>
        <v>0</v>
      </c>
      <c r="AZ13" t="b">
        <f ca="1"/>
        <v>0</v>
      </c>
      <c r="BA13" t="str">
        <f ca="1"/>
        <v>N/A</v>
      </c>
      <c r="BB13" t="str">
        <f ca="1"/>
        <v>NOLOC</v>
      </c>
      <c r="BC13" t="b">
        <f ca="1"/>
        <v>0</v>
      </c>
      <c r="BD13" t="b">
        <f ca="1"/>
        <v>0</v>
      </c>
      <c r="BE13" t="b">
        <f ca="1"/>
        <v>0</v>
      </c>
      <c r="BF13" t="b">
        <f ca="1"/>
        <v>0</v>
      </c>
      <c r="BG13" t="b">
        <f ca="1"/>
        <v>0</v>
      </c>
      <c r="BH13" t="str">
        <f ca="1"/>
        <v>N/A</v>
      </c>
      <c r="BI13">
        <f ca="1"/>
        <v>12</v>
      </c>
      <c r="BJ13">
        <f ca="1"/>
        <v>0</v>
      </c>
      <c r="BK13">
        <f ca="1"/>
        <v>0</v>
      </c>
      <c r="BL13" t="str">
        <f ca="1"/>
        <v>NODATA</v>
      </c>
      <c r="BM13" t="str">
        <f ca="1"/>
        <v>NODATA</v>
      </c>
      <c r="BN13" t="str">
        <f ca="1"/>
        <v>NODATA</v>
      </c>
      <c r="BO13" t="str">
        <f ca="1"/>
        <v>NODATA</v>
      </c>
      <c r="BP13" t="b">
        <f ca="1"/>
        <v>0</v>
      </c>
      <c r="BQ13" t="b">
        <f ca="1"/>
        <v>0</v>
      </c>
    </row>
    <row r="14" spans="1:69" x14ac:dyDescent="0.25">
      <c r="A14" t="str">
        <f ca="1"/>
        <v>8_22 Clubhouse_1</v>
      </c>
      <c r="B14">
        <f ca="1"/>
        <v>13</v>
      </c>
      <c r="C14" t="str">
        <f ca="1"/>
        <v>Attack</v>
      </c>
      <c r="D14" t="str">
        <f ca="1"/>
        <v>Aggro</v>
      </c>
      <c r="E14" t="str">
        <f ca="1"/>
        <v>Nomad</v>
      </c>
      <c r="F14">
        <f ca="1"/>
        <v>89</v>
      </c>
      <c r="G14" t="str">
        <f ca="1"/>
        <v>Hox</v>
      </c>
      <c r="H14" t="b">
        <f ca="1"/>
        <v>1</v>
      </c>
      <c r="I14" t="b">
        <f ca="1"/>
        <v>1</v>
      </c>
      <c r="J14" t="b">
        <f ca="1"/>
        <v>0</v>
      </c>
      <c r="K14" t="str">
        <f ca="1"/>
        <v>NOLOC</v>
      </c>
      <c r="L14" t="b">
        <f ca="1"/>
        <v>0</v>
      </c>
      <c r="M14" t="b">
        <f ca="1"/>
        <v>0</v>
      </c>
      <c r="N14">
        <f ca="1"/>
        <v>13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 t="b">
        <f ca="1"/>
        <v>0</v>
      </c>
      <c r="T14" t="b">
        <f ca="1"/>
        <v>0</v>
      </c>
      <c r="U14">
        <f ca="1"/>
        <v>13</v>
      </c>
      <c r="V14" t="b">
        <f ca="1"/>
        <v>0</v>
      </c>
      <c r="W14" t="b">
        <f ca="1"/>
        <v>1</v>
      </c>
      <c r="X14" t="b">
        <f ca="1"/>
        <v>0</v>
      </c>
      <c r="Y14" t="b">
        <f ca="1"/>
        <v>0</v>
      </c>
      <c r="Z14" t="str">
        <f ca="1"/>
        <v>NOLOC</v>
      </c>
      <c r="AA14" t="b">
        <f ca="1"/>
        <v>0</v>
      </c>
      <c r="AB14" t="b">
        <f ca="1"/>
        <v>0</v>
      </c>
      <c r="AC14" t="b">
        <f ca="1"/>
        <v>0</v>
      </c>
      <c r="AD14" t="b">
        <f ca="1"/>
        <v>0</v>
      </c>
      <c r="AE14" t="b">
        <f ca="1"/>
        <v>0</v>
      </c>
      <c r="AF14" t="str">
        <f ca="1"/>
        <v>N/A</v>
      </c>
      <c r="AG14" t="str">
        <f ca="1"/>
        <v>NOLOC</v>
      </c>
      <c r="AH14" t="b">
        <f ca="1"/>
        <v>0</v>
      </c>
      <c r="AI14" t="b">
        <f ca="1"/>
        <v>0</v>
      </c>
      <c r="AJ14" t="b">
        <f ca="1"/>
        <v>0</v>
      </c>
      <c r="AK14" t="b">
        <f ca="1"/>
        <v>0</v>
      </c>
      <c r="AL14" t="b">
        <f ca="1"/>
        <v>0</v>
      </c>
      <c r="AM14" t="str">
        <f ca="1"/>
        <v>N/A</v>
      </c>
      <c r="AN14" t="str">
        <f ca="1"/>
        <v>NOLOC</v>
      </c>
      <c r="AO14" t="b">
        <f ca="1"/>
        <v>0</v>
      </c>
      <c r="AP14" t="b">
        <f ca="1"/>
        <v>0</v>
      </c>
      <c r="AQ14" t="b">
        <f ca="1"/>
        <v>0</v>
      </c>
      <c r="AR14" t="b">
        <f ca="1"/>
        <v>0</v>
      </c>
      <c r="AS14" t="b">
        <f ca="1"/>
        <v>0</v>
      </c>
      <c r="AT14" t="str">
        <f ca="1"/>
        <v>N/A</v>
      </c>
      <c r="AU14" t="str">
        <f ca="1"/>
        <v>NOLOC</v>
      </c>
      <c r="AV14" t="b">
        <f ca="1"/>
        <v>0</v>
      </c>
      <c r="AW14" t="b">
        <f ca="1"/>
        <v>0</v>
      </c>
      <c r="AX14" t="b">
        <f ca="1"/>
        <v>0</v>
      </c>
      <c r="AY14" t="b">
        <f ca="1"/>
        <v>0</v>
      </c>
      <c r="AZ14" t="b">
        <f ca="1"/>
        <v>0</v>
      </c>
      <c r="BA14" t="str">
        <f ca="1"/>
        <v>N/A</v>
      </c>
      <c r="BB14" t="str">
        <f ca="1"/>
        <v>NOLOC</v>
      </c>
      <c r="BC14" t="b">
        <f ca="1"/>
        <v>0</v>
      </c>
      <c r="BD14" t="b">
        <f ca="1"/>
        <v>0</v>
      </c>
      <c r="BE14" t="b">
        <f ca="1"/>
        <v>0</v>
      </c>
      <c r="BF14" t="b">
        <f ca="1"/>
        <v>0</v>
      </c>
      <c r="BG14" t="b">
        <f ca="1"/>
        <v>0</v>
      </c>
      <c r="BH14" t="str">
        <f ca="1"/>
        <v>N/A</v>
      </c>
      <c r="BI14">
        <f ca="1"/>
        <v>13</v>
      </c>
      <c r="BJ14">
        <f ca="1"/>
        <v>0</v>
      </c>
      <c r="BK14">
        <f ca="1"/>
        <v>0</v>
      </c>
      <c r="BL14" t="str">
        <f ca="1"/>
        <v>NODATA</v>
      </c>
      <c r="BM14" t="str">
        <f ca="1"/>
        <v>NODATA</v>
      </c>
      <c r="BN14" t="str">
        <f ca="1"/>
        <v>NODATA</v>
      </c>
      <c r="BO14" t="str">
        <f ca="1"/>
        <v>NODATA</v>
      </c>
      <c r="BP14" t="b">
        <f ca="1"/>
        <v>0</v>
      </c>
      <c r="BQ14" t="b">
        <f ca="1"/>
        <v>0</v>
      </c>
    </row>
    <row r="15" spans="1:69" x14ac:dyDescent="0.25">
      <c r="A15" t="str">
        <f ca="1"/>
        <v>8_22 Clubhouse_1</v>
      </c>
      <c r="B15">
        <f ca="1"/>
        <v>14</v>
      </c>
      <c r="C15" t="str">
        <f ca="1"/>
        <v>Defense</v>
      </c>
      <c r="D15" t="str">
        <f ca="1"/>
        <v>Aggro</v>
      </c>
      <c r="E15" t="str">
        <f ca="1"/>
        <v>Pulse</v>
      </c>
      <c r="F15">
        <f ca="1"/>
        <v>111</v>
      </c>
      <c r="G15" t="str">
        <f ca="1"/>
        <v>Hipperz</v>
      </c>
      <c r="H15" t="b">
        <f ca="1"/>
        <v>0</v>
      </c>
      <c r="I15" t="b">
        <f ca="1"/>
        <v>0</v>
      </c>
      <c r="J15" t="b">
        <f ca="1"/>
        <v>0</v>
      </c>
      <c r="K15" t="str">
        <f ca="1"/>
        <v>NOLOC</v>
      </c>
      <c r="L15" t="b">
        <f ca="1"/>
        <v>1</v>
      </c>
      <c r="M15" t="b">
        <f ca="1"/>
        <v>1</v>
      </c>
      <c r="N15">
        <f ca="1"/>
        <v>14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 t="b">
        <f ca="1"/>
        <v>0</v>
      </c>
      <c r="T15" t="b">
        <f ca="1"/>
        <v>0</v>
      </c>
      <c r="U15">
        <f ca="1"/>
        <v>14</v>
      </c>
      <c r="V15" t="b">
        <f ca="1"/>
        <v>0</v>
      </c>
      <c r="W15" t="b">
        <f ca="1"/>
        <v>0</v>
      </c>
      <c r="X15" t="b">
        <f ca="1"/>
        <v>0</v>
      </c>
      <c r="Y15" t="b">
        <f ca="1"/>
        <v>0</v>
      </c>
      <c r="Z15" t="str">
        <f ca="1"/>
        <v>NOLOC</v>
      </c>
      <c r="AA15" t="b">
        <f ca="1"/>
        <v>0</v>
      </c>
      <c r="AB15" t="b">
        <f ca="1"/>
        <v>0</v>
      </c>
      <c r="AC15" t="b">
        <f ca="1"/>
        <v>0</v>
      </c>
      <c r="AD15" t="b">
        <f ca="1"/>
        <v>0</v>
      </c>
      <c r="AE15" t="b">
        <f ca="1"/>
        <v>0</v>
      </c>
      <c r="AF15" t="str">
        <f ca="1"/>
        <v>N/A</v>
      </c>
      <c r="AG15" t="str">
        <f ca="1"/>
        <v>NOLOC</v>
      </c>
      <c r="AH15" t="b">
        <f ca="1"/>
        <v>0</v>
      </c>
      <c r="AI15" t="b">
        <f ca="1"/>
        <v>0</v>
      </c>
      <c r="AJ15" t="b">
        <f ca="1"/>
        <v>0</v>
      </c>
      <c r="AK15" t="b">
        <f ca="1"/>
        <v>0</v>
      </c>
      <c r="AL15" t="b">
        <f ca="1"/>
        <v>0</v>
      </c>
      <c r="AM15" t="str">
        <f ca="1"/>
        <v>N/A</v>
      </c>
      <c r="AN15" t="str">
        <f ca="1"/>
        <v>NOLOC</v>
      </c>
      <c r="AO15" t="b">
        <f ca="1"/>
        <v>0</v>
      </c>
      <c r="AP15" t="b">
        <f ca="1"/>
        <v>0</v>
      </c>
      <c r="AQ15" t="b">
        <f ca="1"/>
        <v>0</v>
      </c>
      <c r="AR15" t="b">
        <f ca="1"/>
        <v>0</v>
      </c>
      <c r="AS15" t="b">
        <f ca="1"/>
        <v>0</v>
      </c>
      <c r="AT15" t="str">
        <f ca="1"/>
        <v>N/A</v>
      </c>
      <c r="AU15" t="str">
        <f ca="1"/>
        <v>NOLOC</v>
      </c>
      <c r="AV15" t="b">
        <f ca="1"/>
        <v>0</v>
      </c>
      <c r="AW15" t="b">
        <f ca="1"/>
        <v>0</v>
      </c>
      <c r="AX15" t="b">
        <f ca="1"/>
        <v>0</v>
      </c>
      <c r="AY15" t="b">
        <f ca="1"/>
        <v>0</v>
      </c>
      <c r="AZ15" t="b">
        <f ca="1"/>
        <v>0</v>
      </c>
      <c r="BA15" t="str">
        <f ca="1"/>
        <v>N/A</v>
      </c>
      <c r="BB15" t="str">
        <f ca="1"/>
        <v>NOLOC</v>
      </c>
      <c r="BC15" t="b">
        <f ca="1"/>
        <v>0</v>
      </c>
      <c r="BD15" t="b">
        <f ca="1"/>
        <v>0</v>
      </c>
      <c r="BE15" t="b">
        <f ca="1"/>
        <v>0</v>
      </c>
      <c r="BF15" t="b">
        <f ca="1"/>
        <v>0</v>
      </c>
      <c r="BG15" t="b">
        <f ca="1"/>
        <v>0</v>
      </c>
      <c r="BH15" t="str">
        <f ca="1"/>
        <v>N/A</v>
      </c>
      <c r="BI15">
        <f ca="1"/>
        <v>14</v>
      </c>
      <c r="BJ15">
        <f ca="1"/>
        <v>0</v>
      </c>
      <c r="BK15">
        <f ca="1"/>
        <v>0</v>
      </c>
      <c r="BL15" t="str">
        <f ca="1"/>
        <v>NODATA</v>
      </c>
      <c r="BM15" t="str">
        <f ca="1"/>
        <v>NODATA</v>
      </c>
      <c r="BN15" t="str">
        <f ca="1"/>
        <v>NODATA</v>
      </c>
      <c r="BO15" t="str">
        <f ca="1"/>
        <v>NODATA</v>
      </c>
      <c r="BP15" t="str">
        <f ca="1"/>
        <v/>
      </c>
      <c r="BQ15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Clubhouse_1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2022-08-29T19:44:10Z</dcterms:modified>
</cp:coreProperties>
</file>