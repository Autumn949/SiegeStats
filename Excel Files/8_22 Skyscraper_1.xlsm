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tumn\Documents\R\SiegeStats\Excel Files\"/>
    </mc:Choice>
  </mc:AlternateContent>
  <xr:revisionPtr revIDLastSave="0" documentId="13_ncr:1_{7006A445-8B5D-4229-91D5-57F6202700E6}" xr6:coauthVersionLast="47" xr6:coauthVersionMax="47" xr10:uidLastSave="{00000000-0000-0000-0000-000000000000}"/>
  <bookViews>
    <workbookView xWindow="3450" yWindow="360" windowWidth="20400" windowHeight="11370" xr2:uid="{18B50F8A-0BE0-44C7-B5F3-1CA4BEB09364}"/>
  </bookViews>
  <sheets>
    <sheet name="8_22 Skyscraper_1" sheetId="1" r:id="rId1"/>
    <sheet name="PLAN" sheetId="21" r:id="rId2"/>
    <sheet name="REF" sheetId="18" r:id="rId3"/>
    <sheet name="CALLOUTMAP" sheetId="19" r:id="rId4"/>
    <sheet name="MATCHMETADATA" sheetId="22" r:id="rId5"/>
    <sheet name="MATCHINFO" sheetId="20" r:id="rId6"/>
    <sheet name="TEAMKILL" sheetId="23" r:id="rId7"/>
    <sheet name="PLAYER1PULL" sheetId="7" r:id="rId8"/>
    <sheet name="PLAYER2PULL" sheetId="8" r:id="rId9"/>
    <sheet name="PLAYER3PULL" sheetId="9" r:id="rId10"/>
    <sheet name="PLAYER4PULL" sheetId="10" r:id="rId11"/>
    <sheet name="PLAYER5PULL" sheetId="11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B6" i="1" l="1"/>
  <c r="A2" i="1" a="1"/>
  <c r="A2" i="1" s="1"/>
  <c r="A2" i="22" l="1" a="1"/>
  <c r="A2" i="22" s="1"/>
  <c r="AJ6" i="1"/>
  <c r="AR6" i="1"/>
  <c r="AZ6" i="1"/>
  <c r="BH6" i="1"/>
  <c r="CP23" i="1" a="1"/>
  <c r="CP23" i="1" s="1"/>
  <c r="A2" i="18" a="1"/>
  <c r="A2" i="18" s="1"/>
  <c r="T2" i="22" a="1"/>
  <c r="T2" i="22" s="1"/>
  <c r="P2" i="22" a="1"/>
  <c r="P2" i="22" s="1"/>
  <c r="F2" i="22" a="1"/>
  <c r="F2" i="22" s="1"/>
  <c r="K2" i="22" a="1"/>
  <c r="K2" i="22" s="1"/>
  <c r="EM85" i="1" a="1"/>
  <c r="EM85" i="1" s="1"/>
  <c r="EM69" i="1" a="1"/>
  <c r="EM69" i="1" s="1"/>
  <c r="EM53" i="1" a="1"/>
  <c r="EM53" i="1" s="1"/>
  <c r="EM37" i="1" a="1"/>
  <c r="EM37" i="1" s="1"/>
  <c r="GG84" i="1" a="1"/>
  <c r="GG84" i="1" s="1"/>
  <c r="GG85" i="1" a="1"/>
  <c r="GG85" i="1" s="1"/>
  <c r="GF85" i="1" a="1"/>
  <c r="GF85" i="1" s="1"/>
  <c r="GF84" i="1" a="1"/>
  <c r="GF84" i="1" s="1"/>
  <c r="GG68" i="1" a="1"/>
  <c r="GG68" i="1" s="1"/>
  <c r="GG69" i="1" a="1"/>
  <c r="GG69" i="1" s="1"/>
  <c r="GF68" i="1" a="1"/>
  <c r="GF68" i="1" s="1"/>
  <c r="GF69" i="1" a="1"/>
  <c r="GF69" i="1" s="1"/>
  <c r="GG52" i="1" a="1"/>
  <c r="GG52" i="1" s="1"/>
  <c r="GG53" i="1" a="1"/>
  <c r="GG53" i="1" s="1"/>
  <c r="GF52" i="1" a="1"/>
  <c r="GF52" i="1" s="1"/>
  <c r="GF53" i="1" a="1"/>
  <c r="GF53" i="1" s="1"/>
  <c r="GG36" i="1" a="1"/>
  <c r="GG36" i="1" s="1"/>
  <c r="GG37" i="1" a="1"/>
  <c r="GG37" i="1" s="1"/>
  <c r="GG20" i="1" a="1"/>
  <c r="GG20" i="1" s="1"/>
  <c r="GG21" i="1" a="1"/>
  <c r="GG21" i="1" s="1"/>
  <c r="GF36" i="1" a="1"/>
  <c r="GF36" i="1" s="1"/>
  <c r="GF37" i="1" a="1"/>
  <c r="GF37" i="1" s="1"/>
  <c r="GF20" i="1" a="1"/>
  <c r="GF20" i="1" s="1"/>
  <c r="GF21" i="1" a="1"/>
  <c r="GF21" i="1" s="1"/>
  <c r="GE72" i="1"/>
  <c r="GE73" i="1"/>
  <c r="GE74" i="1"/>
  <c r="GE75" i="1"/>
  <c r="GE76" i="1"/>
  <c r="GE77" i="1"/>
  <c r="GE78" i="1"/>
  <c r="GE79" i="1"/>
  <c r="GE80" i="1"/>
  <c r="GE81" i="1"/>
  <c r="GE82" i="1"/>
  <c r="GE83" i="1"/>
  <c r="GE84" i="1"/>
  <c r="GE85" i="1"/>
  <c r="GE71" i="1"/>
  <c r="GE56" i="1"/>
  <c r="GE57" i="1"/>
  <c r="GE58" i="1"/>
  <c r="GE59" i="1"/>
  <c r="GE60" i="1"/>
  <c r="GE61" i="1"/>
  <c r="GE62" i="1"/>
  <c r="GE63" i="1"/>
  <c r="GE64" i="1"/>
  <c r="GE65" i="1"/>
  <c r="GE66" i="1"/>
  <c r="GE67" i="1"/>
  <c r="GE68" i="1"/>
  <c r="GE69" i="1"/>
  <c r="GE55" i="1"/>
  <c r="GE40" i="1"/>
  <c r="GE41" i="1"/>
  <c r="GE42" i="1"/>
  <c r="GE43" i="1"/>
  <c r="GE44" i="1"/>
  <c r="GE45" i="1"/>
  <c r="GE46" i="1"/>
  <c r="GE47" i="1"/>
  <c r="GE48" i="1"/>
  <c r="GE49" i="1"/>
  <c r="GE50" i="1"/>
  <c r="GE51" i="1"/>
  <c r="GE52" i="1"/>
  <c r="GE53" i="1"/>
  <c r="GE39" i="1"/>
  <c r="GE24" i="1"/>
  <c r="GE25" i="1"/>
  <c r="GE26" i="1"/>
  <c r="GE27" i="1"/>
  <c r="GE28" i="1"/>
  <c r="GE29" i="1"/>
  <c r="GE30" i="1"/>
  <c r="GE31" i="1"/>
  <c r="GE32" i="1"/>
  <c r="GE33" i="1"/>
  <c r="GE34" i="1"/>
  <c r="GE35" i="1"/>
  <c r="GE36" i="1"/>
  <c r="GE37" i="1"/>
  <c r="GE23" i="1"/>
  <c r="GE8" i="1"/>
  <c r="GE9" i="1"/>
  <c r="GE10" i="1"/>
  <c r="GE11" i="1"/>
  <c r="GE12" i="1"/>
  <c r="GE13" i="1"/>
  <c r="GE14" i="1"/>
  <c r="GE15" i="1"/>
  <c r="GE16" i="1"/>
  <c r="GE17" i="1"/>
  <c r="GE18" i="1"/>
  <c r="GE19" i="1"/>
  <c r="GE20" i="1"/>
  <c r="GE21" i="1"/>
  <c r="GE7" i="1"/>
  <c r="GD72" i="1"/>
  <c r="GD73" i="1"/>
  <c r="GD74" i="1"/>
  <c r="GD75" i="1"/>
  <c r="GD76" i="1"/>
  <c r="GD77" i="1"/>
  <c r="GD78" i="1"/>
  <c r="GD79" i="1"/>
  <c r="GD80" i="1"/>
  <c r="GD81" i="1"/>
  <c r="GD82" i="1"/>
  <c r="GD83" i="1"/>
  <c r="GD84" i="1"/>
  <c r="GD85" i="1"/>
  <c r="GD71" i="1"/>
  <c r="GD56" i="1"/>
  <c r="GD57" i="1"/>
  <c r="GD58" i="1"/>
  <c r="GD59" i="1"/>
  <c r="GD60" i="1"/>
  <c r="GD61" i="1"/>
  <c r="GD62" i="1"/>
  <c r="GD63" i="1"/>
  <c r="GD64" i="1"/>
  <c r="GD65" i="1"/>
  <c r="GD66" i="1"/>
  <c r="GD67" i="1"/>
  <c r="GD68" i="1"/>
  <c r="GD69" i="1"/>
  <c r="GD55" i="1"/>
  <c r="GD40" i="1"/>
  <c r="GD41" i="1"/>
  <c r="GD42" i="1"/>
  <c r="GD43" i="1"/>
  <c r="GD44" i="1"/>
  <c r="GD45" i="1"/>
  <c r="GD46" i="1"/>
  <c r="GD47" i="1"/>
  <c r="GD48" i="1"/>
  <c r="GD49" i="1"/>
  <c r="GD50" i="1"/>
  <c r="GD51" i="1"/>
  <c r="GD52" i="1"/>
  <c r="GD53" i="1"/>
  <c r="GD39" i="1"/>
  <c r="GD8" i="1"/>
  <c r="GD9" i="1"/>
  <c r="GD10" i="1"/>
  <c r="GD11" i="1"/>
  <c r="GD12" i="1"/>
  <c r="GD13" i="1"/>
  <c r="GD14" i="1"/>
  <c r="GD15" i="1"/>
  <c r="GD16" i="1"/>
  <c r="GD17" i="1"/>
  <c r="GD18" i="1"/>
  <c r="GD19" i="1"/>
  <c r="GD20" i="1"/>
  <c r="GD21" i="1"/>
  <c r="GD7" i="1"/>
  <c r="GD26" i="1"/>
  <c r="GD27" i="1"/>
  <c r="GD28" i="1"/>
  <c r="GD29" i="1"/>
  <c r="GD30" i="1"/>
  <c r="GD31" i="1"/>
  <c r="GD32" i="1"/>
  <c r="GD33" i="1"/>
  <c r="GD34" i="1"/>
  <c r="GD35" i="1"/>
  <c r="GD36" i="1"/>
  <c r="GD37" i="1"/>
  <c r="GD23" i="1"/>
  <c r="GD25" i="1"/>
  <c r="GD24" i="1"/>
  <c r="GA72" i="1"/>
  <c r="GA73" i="1"/>
  <c r="GA74" i="1"/>
  <c r="GA75" i="1"/>
  <c r="GA76" i="1"/>
  <c r="GA77" i="1"/>
  <c r="GA78" i="1"/>
  <c r="GA79" i="1"/>
  <c r="GA80" i="1"/>
  <c r="GA81" i="1"/>
  <c r="GA82" i="1"/>
  <c r="GA83" i="1"/>
  <c r="GA84" i="1"/>
  <c r="GA85" i="1"/>
  <c r="GA71" i="1"/>
  <c r="GA56" i="1"/>
  <c r="GA57" i="1"/>
  <c r="GA58" i="1"/>
  <c r="GA59" i="1"/>
  <c r="GA60" i="1"/>
  <c r="GA61" i="1"/>
  <c r="GA62" i="1"/>
  <c r="GA63" i="1"/>
  <c r="GA64" i="1"/>
  <c r="GA65" i="1"/>
  <c r="GA66" i="1"/>
  <c r="GA67" i="1"/>
  <c r="GA68" i="1"/>
  <c r="GA69" i="1"/>
  <c r="GA55" i="1"/>
  <c r="GA40" i="1"/>
  <c r="GA41" i="1"/>
  <c r="GA42" i="1"/>
  <c r="GA43" i="1"/>
  <c r="GA44" i="1"/>
  <c r="GA45" i="1"/>
  <c r="GA46" i="1"/>
  <c r="GA47" i="1"/>
  <c r="GA48" i="1"/>
  <c r="GA49" i="1"/>
  <c r="GA50" i="1"/>
  <c r="GA51" i="1"/>
  <c r="GA52" i="1"/>
  <c r="GA53" i="1"/>
  <c r="GA39" i="1"/>
  <c r="GA24" i="1"/>
  <c r="GA25" i="1"/>
  <c r="GA26" i="1"/>
  <c r="GA27" i="1"/>
  <c r="GA28" i="1"/>
  <c r="GA29" i="1"/>
  <c r="GA30" i="1"/>
  <c r="GA31" i="1"/>
  <c r="GA32" i="1"/>
  <c r="GA33" i="1"/>
  <c r="GA34" i="1"/>
  <c r="GA35" i="1"/>
  <c r="GA36" i="1"/>
  <c r="GA37" i="1"/>
  <c r="GA23" i="1"/>
  <c r="GA8" i="1"/>
  <c r="GA9" i="1"/>
  <c r="GA10" i="1"/>
  <c r="GA11" i="1"/>
  <c r="GA12" i="1"/>
  <c r="GA13" i="1"/>
  <c r="GA14" i="1"/>
  <c r="GA15" i="1"/>
  <c r="GA16" i="1"/>
  <c r="GA17" i="1"/>
  <c r="GA18" i="1"/>
  <c r="GA19" i="1"/>
  <c r="GA20" i="1"/>
  <c r="GA21" i="1"/>
  <c r="GA7" i="1"/>
  <c r="GB72" i="1"/>
  <c r="GB73" i="1"/>
  <c r="GB74" i="1"/>
  <c r="GB75" i="1"/>
  <c r="GB76" i="1"/>
  <c r="GB77" i="1"/>
  <c r="GB78" i="1"/>
  <c r="GB79" i="1"/>
  <c r="GB80" i="1"/>
  <c r="GB81" i="1"/>
  <c r="GB82" i="1"/>
  <c r="GB83" i="1"/>
  <c r="GB84" i="1"/>
  <c r="GB85" i="1"/>
  <c r="GB71" i="1"/>
  <c r="GB56" i="1"/>
  <c r="GB57" i="1"/>
  <c r="GB58" i="1"/>
  <c r="GB59" i="1"/>
  <c r="GB60" i="1"/>
  <c r="GB61" i="1"/>
  <c r="GB62" i="1"/>
  <c r="GB63" i="1"/>
  <c r="GB64" i="1"/>
  <c r="GB65" i="1"/>
  <c r="GB66" i="1"/>
  <c r="GB67" i="1"/>
  <c r="GB68" i="1"/>
  <c r="GB69" i="1"/>
  <c r="GB55" i="1"/>
  <c r="GB40" i="1"/>
  <c r="GB41" i="1"/>
  <c r="GB42" i="1"/>
  <c r="GB43" i="1"/>
  <c r="GB44" i="1"/>
  <c r="GB45" i="1"/>
  <c r="GB46" i="1"/>
  <c r="GB47" i="1"/>
  <c r="GB48" i="1"/>
  <c r="GB49" i="1"/>
  <c r="GB50" i="1"/>
  <c r="GB51" i="1"/>
  <c r="GB52" i="1"/>
  <c r="GB53" i="1"/>
  <c r="GB39" i="1"/>
  <c r="GB24" i="1"/>
  <c r="GB25" i="1"/>
  <c r="GB26" i="1"/>
  <c r="GB27" i="1"/>
  <c r="GB28" i="1"/>
  <c r="GB29" i="1"/>
  <c r="GB30" i="1"/>
  <c r="GB31" i="1"/>
  <c r="GB32" i="1"/>
  <c r="GB33" i="1"/>
  <c r="GB34" i="1"/>
  <c r="GB35" i="1"/>
  <c r="GB36" i="1"/>
  <c r="GB37" i="1"/>
  <c r="GB23" i="1"/>
  <c r="GB8" i="1"/>
  <c r="GB9" i="1"/>
  <c r="GB10" i="1"/>
  <c r="GB11" i="1"/>
  <c r="GB12" i="1"/>
  <c r="GB13" i="1"/>
  <c r="GB14" i="1"/>
  <c r="GB15" i="1"/>
  <c r="GB16" i="1"/>
  <c r="GB17" i="1"/>
  <c r="GB18" i="1"/>
  <c r="GB19" i="1"/>
  <c r="GB20" i="1"/>
  <c r="GB21" i="1"/>
  <c r="GB7" i="1"/>
  <c r="GC71" i="1"/>
  <c r="GC72" i="1"/>
  <c r="GC73" i="1"/>
  <c r="GC74" i="1"/>
  <c r="GC75" i="1"/>
  <c r="GC76" i="1"/>
  <c r="GC77" i="1"/>
  <c r="GC78" i="1"/>
  <c r="GC79" i="1"/>
  <c r="GC80" i="1"/>
  <c r="GC81" i="1"/>
  <c r="GC82" i="1"/>
  <c r="GC83" i="1"/>
  <c r="GC84" i="1"/>
  <c r="GC85" i="1"/>
  <c r="GC56" i="1"/>
  <c r="GC57" i="1"/>
  <c r="GC58" i="1"/>
  <c r="GC59" i="1"/>
  <c r="GC60" i="1"/>
  <c r="GC61" i="1"/>
  <c r="GC62" i="1"/>
  <c r="GC63" i="1"/>
  <c r="GC64" i="1"/>
  <c r="GC65" i="1"/>
  <c r="GC66" i="1"/>
  <c r="GC67" i="1"/>
  <c r="GC68" i="1"/>
  <c r="GC69" i="1"/>
  <c r="GC55" i="1"/>
  <c r="GC40" i="1"/>
  <c r="GC41" i="1"/>
  <c r="GC42" i="1"/>
  <c r="GC43" i="1"/>
  <c r="GC44" i="1"/>
  <c r="GC45" i="1"/>
  <c r="GC46" i="1"/>
  <c r="GC47" i="1"/>
  <c r="GC48" i="1"/>
  <c r="GC49" i="1"/>
  <c r="GC50" i="1"/>
  <c r="GC51" i="1"/>
  <c r="GC52" i="1"/>
  <c r="GC53" i="1"/>
  <c r="GC39" i="1"/>
  <c r="GC24" i="1"/>
  <c r="GC25" i="1"/>
  <c r="GC26" i="1"/>
  <c r="GC27" i="1"/>
  <c r="GC28" i="1"/>
  <c r="GC29" i="1"/>
  <c r="GC30" i="1"/>
  <c r="GC31" i="1"/>
  <c r="GC32" i="1"/>
  <c r="GC33" i="1"/>
  <c r="GC34" i="1"/>
  <c r="GC35" i="1"/>
  <c r="GC36" i="1"/>
  <c r="GC37" i="1"/>
  <c r="GC23" i="1"/>
  <c r="GC21" i="1"/>
  <c r="GC12" i="1"/>
  <c r="GC13" i="1"/>
  <c r="GC14" i="1"/>
  <c r="GC15" i="1"/>
  <c r="GC16" i="1"/>
  <c r="GC17" i="1"/>
  <c r="GC18" i="1"/>
  <c r="GC19" i="1"/>
  <c r="GC20" i="1"/>
  <c r="GC7" i="1"/>
  <c r="GC8" i="1"/>
  <c r="GC9" i="1"/>
  <c r="GC10" i="1"/>
  <c r="GC11" i="1"/>
  <c r="EL71" i="1" a="1"/>
  <c r="EL71" i="1" s="1"/>
  <c r="EL55" i="1" a="1"/>
  <c r="EL55" i="1" s="1"/>
  <c r="EL39" i="1" a="1"/>
  <c r="EL39" i="1" s="1"/>
  <c r="EL23" i="1" a="1"/>
  <c r="EL23" i="1" s="1"/>
  <c r="EL7" i="1" a="1"/>
  <c r="EL7" i="1" s="1"/>
  <c r="EM21" i="1" a="1"/>
  <c r="GF78" i="1" a="1"/>
  <c r="GF64" i="1" a="1"/>
  <c r="GF48" i="1" a="1"/>
  <c r="GG16" i="1" a="1"/>
  <c r="GF16" i="1" a="1"/>
  <c r="GF80" i="1" a="1"/>
  <c r="GF65" i="1" a="1"/>
  <c r="GF49" i="1" a="1"/>
  <c r="GG17" i="1" a="1"/>
  <c r="GF17" i="1" a="1"/>
  <c r="GF81" i="1" a="1"/>
  <c r="GF66" i="1" a="1"/>
  <c r="GF50" i="1" a="1"/>
  <c r="GG18" i="1" a="1"/>
  <c r="GF18" i="1" a="1"/>
  <c r="GF31" i="1" a="1"/>
  <c r="GF82" i="1" a="1"/>
  <c r="GF67" i="1" a="1"/>
  <c r="GF51" i="1" a="1"/>
  <c r="GG19" i="1" a="1"/>
  <c r="GF19" i="1" a="1"/>
  <c r="GF79" i="1" a="1"/>
  <c r="GF83" i="1" a="1"/>
  <c r="GF47" i="1" a="1"/>
  <c r="GG14" i="1" a="1"/>
  <c r="GG79" i="1" a="1"/>
  <c r="GG77" i="1" a="1"/>
  <c r="GG61" i="1" a="1"/>
  <c r="GG45" i="1" a="1"/>
  <c r="GG29" i="1" a="1"/>
  <c r="GF29" i="1" a="1"/>
  <c r="GG63" i="1" a="1"/>
  <c r="GG78" i="1" a="1"/>
  <c r="GG62" i="1" a="1"/>
  <c r="GG46" i="1" a="1"/>
  <c r="GG30" i="1" a="1"/>
  <c r="GF30" i="1" a="1"/>
  <c r="GG31" i="1" a="1"/>
  <c r="GF62" i="1" a="1"/>
  <c r="GG80" i="1" a="1"/>
  <c r="GG64" i="1" a="1"/>
  <c r="GG48" i="1" a="1"/>
  <c r="GG32" i="1" a="1"/>
  <c r="GF32" i="1" a="1"/>
  <c r="GG15" i="1" a="1"/>
  <c r="GF14" i="1" a="1"/>
  <c r="GG81" i="1" a="1"/>
  <c r="GG65" i="1" a="1"/>
  <c r="GG49" i="1" a="1"/>
  <c r="GG33" i="1" a="1"/>
  <c r="GF33" i="1" a="1"/>
  <c r="GG47" i="1" a="1"/>
  <c r="GG82" i="1" a="1"/>
  <c r="GG66" i="1" a="1"/>
  <c r="GG50" i="1" a="1"/>
  <c r="GG34" i="1" a="1"/>
  <c r="GF34" i="1" a="1"/>
  <c r="GF15" i="1" a="1"/>
  <c r="GF46" i="1" a="1"/>
  <c r="GG83" i="1" a="1"/>
  <c r="GG67" i="1" a="1"/>
  <c r="GG51" i="1" a="1"/>
  <c r="GG35" i="1" a="1"/>
  <c r="GF35" i="1" a="1"/>
  <c r="GF63" i="1" a="1"/>
  <c r="GF77" i="1" a="1"/>
  <c r="GF61" i="1" a="1"/>
  <c r="GF45" i="1" a="1"/>
  <c r="GG13" i="1" a="1"/>
  <c r="GF13" i="1" a="1"/>
  <c r="GF59" i="1" a="1"/>
  <c r="GG23" i="1" a="1"/>
  <c r="GF11" i="1" a="1"/>
  <c r="GG42" i="1" a="1"/>
  <c r="GG11" i="1" a="1"/>
  <c r="GF72" i="1" a="1"/>
  <c r="GG40" i="1" a="1"/>
  <c r="GF27" i="1" a="1"/>
  <c r="GG74" i="1" a="1"/>
  <c r="GF23" i="1" a="1"/>
  <c r="GG41" i="1" a="1"/>
  <c r="GF42" i="1" a="1"/>
  <c r="GG75" i="1" a="1"/>
  <c r="GF55" i="1" a="1"/>
  <c r="GG58" i="1" a="1"/>
  <c r="GF60" i="1" a="1"/>
  <c r="GF24" i="1" a="1"/>
  <c r="GF12" i="1" a="1"/>
  <c r="GG43" i="1" a="1"/>
  <c r="GG12" i="1" a="1"/>
  <c r="GG44" i="1" a="1"/>
  <c r="GF57" i="1" a="1"/>
  <c r="GF28" i="1" a="1"/>
  <c r="GG57" i="1" a="1"/>
  <c r="GG7" i="1" a="1"/>
  <c r="GG59" i="1" a="1"/>
  <c r="GF74" i="1" a="1"/>
  <c r="GG9" i="1" a="1"/>
  <c r="GG28" i="1" a="1"/>
  <c r="GF40" i="1" a="1"/>
  <c r="GG26" i="1" a="1"/>
  <c r="GF43" i="1" a="1"/>
  <c r="GF56" i="1" a="1"/>
  <c r="GG39" i="1" a="1"/>
  <c r="GG25" i="1" a="1"/>
  <c r="GF73" i="1" a="1"/>
  <c r="GF41" i="1" a="1"/>
  <c r="GG55" i="1" a="1"/>
  <c r="GG8" i="1" a="1"/>
  <c r="GG76" i="1" a="1"/>
  <c r="GG72" i="1" a="1"/>
  <c r="GF75" i="1" a="1"/>
  <c r="GF9" i="1" a="1"/>
  <c r="GF71" i="1" a="1"/>
  <c r="GG60" i="1" a="1"/>
  <c r="GF44" i="1" a="1"/>
  <c r="GF58" i="1" a="1"/>
  <c r="GF39" i="1" a="1"/>
  <c r="GG27" i="1" a="1"/>
  <c r="GG73" i="1" a="1"/>
  <c r="GG10" i="1" a="1"/>
  <c r="GG24" i="1" a="1"/>
  <c r="GF7" i="1" a="1"/>
  <c r="GF10" i="1" a="1"/>
  <c r="GF76" i="1" a="1"/>
  <c r="GF25" i="1" a="1"/>
  <c r="GF8" i="1" a="1"/>
  <c r="GG56" i="1" a="1"/>
  <c r="GG71" i="1" a="1"/>
  <c r="GF26" i="1" a="1"/>
  <c r="EY92" i="1" a="1"/>
  <c r="GA95" i="1" a="1"/>
  <c r="FM102" i="1" a="1"/>
  <c r="FM93" i="1" a="1"/>
  <c r="FM101" i="1" a="1"/>
  <c r="FT90" i="1" a="1"/>
  <c r="FT99" i="1" a="1"/>
  <c r="FM90" i="1" a="1"/>
  <c r="FM100" i="1" a="1"/>
  <c r="GA99" i="1" a="1"/>
  <c r="FM88" i="1" a="1"/>
  <c r="FF90" i="1" a="1"/>
  <c r="FF102" i="1" a="1"/>
  <c r="EY93" i="1" a="1"/>
  <c r="FF99" i="1" a="1"/>
  <c r="FT96" i="1" a="1"/>
  <c r="EY101" i="1" a="1"/>
  <c r="FT98" i="1" a="1"/>
  <c r="EY102" i="1" a="1"/>
  <c r="FT95" i="1" a="1"/>
  <c r="GA91" i="1" a="1"/>
  <c r="EY100" i="1" a="1"/>
  <c r="FM92" i="1" a="1"/>
  <c r="FF92" i="1" a="1"/>
  <c r="GA94" i="1" a="1"/>
  <c r="FF95" i="1" a="1"/>
  <c r="FM97" i="1" a="1"/>
  <c r="EY91" i="1" a="1"/>
  <c r="FM96" i="1" a="1"/>
  <c r="FT91" i="1" a="1"/>
  <c r="EY88" i="1" a="1"/>
  <c r="FT97" i="1" a="1"/>
  <c r="FM99" i="1" a="1"/>
  <c r="FT92" i="1" a="1"/>
  <c r="FT93" i="1" a="1"/>
  <c r="GA98" i="1" a="1"/>
  <c r="EY90" i="1" a="1"/>
  <c r="EY97" i="1" a="1"/>
  <c r="GA96" i="1" a="1"/>
  <c r="GA92" i="1" a="1"/>
  <c r="EY94" i="1" a="1"/>
  <c r="GA93" i="1" a="1"/>
  <c r="FF94" i="1" a="1"/>
  <c r="EY89" i="1" a="1"/>
  <c r="GA101" i="1" a="1"/>
  <c r="GA97" i="1" a="1"/>
  <c r="FM94" i="1" a="1"/>
  <c r="FM98" i="1" a="1"/>
  <c r="GA102" i="1" a="1"/>
  <c r="FT100" i="1" a="1"/>
  <c r="FT102" i="1" a="1"/>
  <c r="FM89" i="1" a="1"/>
  <c r="FF100" i="1" a="1"/>
  <c r="FF98" i="1" a="1"/>
  <c r="FT94" i="1" a="1"/>
  <c r="EY95" i="1" a="1"/>
  <c r="FF89" i="1" a="1"/>
  <c r="FM91" i="1" a="1"/>
  <c r="FF88" i="1" a="1"/>
  <c r="GA88" i="1" a="1"/>
  <c r="GA100" i="1" a="1"/>
  <c r="GA90" i="1" a="1"/>
  <c r="FF97" i="1" a="1"/>
  <c r="GA89" i="1" a="1"/>
  <c r="EY96" i="1" a="1"/>
  <c r="FF93" i="1" a="1"/>
  <c r="EY98" i="1" a="1"/>
  <c r="FT89" i="1" a="1"/>
  <c r="FF91" i="1" a="1"/>
  <c r="FT88" i="1" a="1"/>
  <c r="EY99" i="1" a="1"/>
  <c r="FT101" i="1" a="1"/>
  <c r="FM95" i="1" a="1"/>
  <c r="FF96" i="1" a="1"/>
  <c r="FF101" i="1" a="1"/>
  <c r="DV7" i="1" a="1"/>
  <c r="FD34" i="1" a="1"/>
  <c r="EW23" i="1" a="1"/>
  <c r="FK35" i="1" a="1"/>
  <c r="FD17" i="1" a="1"/>
  <c r="EP57" i="1" a="1"/>
  <c r="EP69" i="1" a="1"/>
  <c r="EW62" i="1" a="1"/>
  <c r="FK66" i="1" a="1"/>
  <c r="EP56" i="1" a="1"/>
  <c r="FR44" i="1" a="1"/>
  <c r="EW12" i="1" a="1"/>
  <c r="FD7" i="1" a="1"/>
  <c r="FK17" i="1" a="1"/>
  <c r="EP35" i="1" a="1"/>
  <c r="EW59" i="1" a="1"/>
  <c r="FK42" i="1" a="1"/>
  <c r="FD31" i="1" a="1"/>
  <c r="EP78" i="1" a="1"/>
  <c r="FK46" i="1" a="1"/>
  <c r="EW84" i="1" a="1"/>
  <c r="EW19" i="1" a="1"/>
  <c r="FD62" i="1" a="1"/>
  <c r="FD27" i="1" a="1"/>
  <c r="FD21" i="1" a="1"/>
  <c r="FJ7" i="1" a="1"/>
  <c r="EW65" i="1" a="1"/>
  <c r="FR65" i="1" a="1"/>
  <c r="FK48" i="1" a="1"/>
  <c r="FD40" i="1" a="1"/>
  <c r="EP12" i="1" a="1"/>
  <c r="EW18" i="1" a="1"/>
  <c r="FR74" i="1" a="1"/>
  <c r="EP58" i="1" a="1"/>
  <c r="FD83" i="1" a="1"/>
  <c r="FK31" i="1" a="1"/>
  <c r="FD44" i="1" a="1"/>
  <c r="FJ44" i="1" s="1" a="1"/>
  <c r="FR27" i="1" a="1"/>
  <c r="FD84" i="1" a="1"/>
  <c r="FD43" i="1" a="1"/>
  <c r="FK78" i="1" a="1"/>
  <c r="FK52" i="1" a="1"/>
  <c r="EW83" i="1" a="1"/>
  <c r="FK76" i="1" a="1"/>
  <c r="EP21" i="1" a="1"/>
  <c r="FR29" i="1" a="1"/>
  <c r="EW49" i="1" a="1"/>
  <c r="EW24" i="1" a="1"/>
  <c r="FK61" i="1" a="1"/>
  <c r="EW85" i="1" a="1"/>
  <c r="FR16" i="1" a="1"/>
  <c r="EW60" i="1" a="1"/>
  <c r="FK18" i="1" a="1"/>
  <c r="FD28" i="1" a="1"/>
  <c r="FK34" i="1" a="1"/>
  <c r="FK29" i="1" a="1"/>
  <c r="EP48" i="1" a="1"/>
  <c r="FK14" i="1" a="1"/>
  <c r="FD69" i="1" a="1"/>
  <c r="FR51" i="1" a="1"/>
  <c r="EP25" i="1" a="1"/>
  <c r="FR67" i="1" a="1"/>
  <c r="FR21" i="1" a="1"/>
  <c r="FD52" i="1" a="1"/>
  <c r="EW44" i="1" a="1"/>
  <c r="FR15" i="1" a="1"/>
  <c r="EP79" i="1" a="1"/>
  <c r="FD60" i="1" a="1"/>
  <c r="FD75" i="1" a="1"/>
  <c r="FD74" i="1" a="1"/>
  <c r="FR59" i="1" a="1"/>
  <c r="EP39" i="1" a="1"/>
  <c r="EW61" i="1" a="1"/>
  <c r="EP13" i="1" a="1"/>
  <c r="FD42" i="1" a="1"/>
  <c r="FD47" i="1" a="1"/>
  <c r="FK58" i="1" a="1"/>
  <c r="FR45" i="1" a="1"/>
  <c r="FD77" i="1" a="1"/>
  <c r="FR28" i="1" a="1"/>
  <c r="FK50" i="1" a="1"/>
  <c r="FD51" i="1" a="1"/>
  <c r="FD82" i="1" a="1"/>
  <c r="FR77" i="1" a="1"/>
  <c r="EP17" i="1" a="1"/>
  <c r="EP42" i="1" a="1"/>
  <c r="FK33" i="1" a="1"/>
  <c r="FK59" i="1" a="1"/>
  <c r="FK56" i="1" a="1"/>
  <c r="FR43" i="1" a="1"/>
  <c r="EP44" i="1" a="1"/>
  <c r="EP81" i="1" a="1"/>
  <c r="FD64" i="1" a="1"/>
  <c r="EP51" i="1" a="1"/>
  <c r="FC85" i="1" a="1"/>
  <c r="FC49" i="1" a="1"/>
  <c r="EW55" i="1" a="1"/>
  <c r="EP76" i="1" a="1"/>
  <c r="FD55" i="1" a="1"/>
  <c r="FJ69" i="1" a="1"/>
  <c r="FR76" i="1" a="1"/>
  <c r="FR20" i="1" a="1"/>
  <c r="EW39" i="1" a="1"/>
  <c r="FK12" i="1" a="1"/>
  <c r="FR40" i="1" a="1"/>
  <c r="EP29" i="1" a="1"/>
  <c r="FL102" i="1" a="1"/>
  <c r="EP31" i="1" a="1"/>
  <c r="FR56" i="1" a="1"/>
  <c r="FD30" i="1" a="1"/>
  <c r="GG92" i="1" a="1"/>
  <c r="EP49" i="1" a="1"/>
  <c r="EW42" i="1" a="1"/>
  <c r="EW16" i="1" a="1"/>
  <c r="FR31" i="1" a="1"/>
  <c r="EP75" i="1" a="1"/>
  <c r="FR82" i="1" a="1"/>
  <c r="FX82" i="1" s="1" a="1"/>
  <c r="EW33" i="1" a="1"/>
  <c r="FD73" i="1" a="1"/>
  <c r="FR62" i="1" a="1"/>
  <c r="FD12" i="1" a="1"/>
  <c r="FR69" i="1" a="1"/>
  <c r="FR26" i="1" a="1"/>
  <c r="FK13" i="1" a="1"/>
  <c r="FD65" i="1" a="1"/>
  <c r="EP27" i="1" a="1"/>
  <c r="EW21" i="1" a="1"/>
  <c r="EP23" i="1" a="1"/>
  <c r="EW25" i="1" a="1"/>
  <c r="EW57" i="1" a="1"/>
  <c r="FD29" i="1" a="1"/>
  <c r="FK45" i="1" a="1"/>
  <c r="FD25" i="1" a="1"/>
  <c r="EW50" i="1" a="1"/>
  <c r="EW47" i="1" a="1"/>
  <c r="FX31" i="1" a="1"/>
  <c r="EW35" i="1" a="1"/>
  <c r="FK74" i="1" a="1"/>
  <c r="FD24" i="1" a="1"/>
  <c r="EP24" i="1" a="1"/>
  <c r="EP20" i="1" a="1"/>
  <c r="EP33" i="1" a="1"/>
  <c r="FE99" i="1" a="1"/>
  <c r="FR46" i="1" a="1"/>
  <c r="FR33" i="1" a="1"/>
  <c r="FR41" i="1" a="1"/>
  <c r="FD76" i="1" a="1"/>
  <c r="FD80" i="1" a="1"/>
  <c r="FR13" i="1" a="1"/>
  <c r="FK39" i="1" a="1"/>
  <c r="FR78" i="1" a="1"/>
  <c r="EP47" i="1" a="1"/>
  <c r="FK23" i="1" a="1"/>
  <c r="FD11" i="1" a="1"/>
  <c r="FK49" i="1" a="1"/>
  <c r="FK7" i="1" a="1"/>
  <c r="EP45" i="1" a="1"/>
  <c r="FR37" i="1" a="1"/>
  <c r="EW68" i="1" a="1"/>
  <c r="FD61" i="1" a="1"/>
  <c r="EW41" i="1" a="1"/>
  <c r="EW56" i="1" a="1"/>
  <c r="FR81" i="1" a="1"/>
  <c r="FR52" i="1" a="1"/>
  <c r="FK72" i="1" a="1"/>
  <c r="FK10" i="1" a="1"/>
  <c r="FK32" i="1" a="1"/>
  <c r="FD49" i="1" a="1"/>
  <c r="EW34" i="1" a="1"/>
  <c r="FS96" i="1" a="1"/>
  <c r="GG102" i="1" a="1"/>
  <c r="FC50" i="1" a="1"/>
  <c r="EP61" i="1" a="1"/>
  <c r="FK79" i="1" a="1"/>
  <c r="EW76" i="1" a="1"/>
  <c r="FK77" i="1" a="1"/>
  <c r="EP85" i="1" a="1"/>
  <c r="FD46" i="1" a="1"/>
  <c r="FK16" i="1" a="1"/>
  <c r="FK9" i="1" a="1"/>
  <c r="EP68" i="1" a="1"/>
  <c r="FD45" i="1" a="1"/>
  <c r="FR18" i="1" a="1"/>
  <c r="FK75" i="1" a="1"/>
  <c r="FR73" i="1" a="1"/>
  <c r="FK28" i="1" a="1"/>
  <c r="FD37" i="1" a="1"/>
  <c r="FD20" i="1" a="1"/>
  <c r="FR9" i="1" a="1"/>
  <c r="FR66" i="1" a="1"/>
  <c r="FR72" i="1" a="1"/>
  <c r="FD56" i="1" a="1"/>
  <c r="EP80" i="1" a="1"/>
  <c r="EP37" i="1" a="1"/>
  <c r="EP84" i="1" a="1"/>
  <c r="EP52" i="1" a="1"/>
  <c r="FR39" i="1" a="1"/>
  <c r="EP14" i="1" a="1"/>
  <c r="EW10" i="1" a="1"/>
  <c r="FR83" i="1" a="1"/>
  <c r="FD53" i="1" a="1"/>
  <c r="EW32" i="1" a="1"/>
  <c r="FC32" i="1" s="1" a="1"/>
  <c r="EW75" i="1" a="1"/>
  <c r="FR36" i="1" a="1"/>
  <c r="FK37" i="1" a="1"/>
  <c r="FD23" i="1" a="1"/>
  <c r="FL91" i="1" a="1"/>
  <c r="FS88" i="1" a="1"/>
  <c r="EP63" i="1" a="1"/>
  <c r="FK36" i="1" a="1"/>
  <c r="EW52" i="1" a="1"/>
  <c r="FR11" i="1" a="1"/>
  <c r="EW40" i="1" a="1"/>
  <c r="EP30" i="1" a="1"/>
  <c r="FL95" i="1" a="1"/>
  <c r="FR12" i="1" a="1"/>
  <c r="EW13" i="1" a="1"/>
  <c r="FC13" i="1" s="1" a="1"/>
  <c r="FR60" i="1" a="1"/>
  <c r="FX60" i="1" s="1" a="1"/>
  <c r="EV21" i="1" a="1"/>
  <c r="EW26" i="1" a="1"/>
  <c r="FR63" i="1" a="1"/>
  <c r="EP7" i="1" a="1"/>
  <c r="EW30" i="1" a="1"/>
  <c r="FR68" i="1" a="1"/>
  <c r="FR34" i="1" a="1"/>
  <c r="FK43" i="1" a="1"/>
  <c r="FQ43" i="1" s="1" a="1"/>
  <c r="FK63" i="1" a="1"/>
  <c r="FQ63" i="1" s="1" a="1"/>
  <c r="FD66" i="1" a="1"/>
  <c r="EW66" i="1" a="1"/>
  <c r="EP41" i="1" a="1"/>
  <c r="EP43" i="1" a="1"/>
  <c r="EW28" i="1" a="1"/>
  <c r="FD33" i="1" a="1"/>
  <c r="FK15" i="1" a="1"/>
  <c r="EP16" i="1" a="1"/>
  <c r="EW20" i="1" a="1"/>
  <c r="EW74" i="1" a="1"/>
  <c r="FR79" i="1" a="1"/>
  <c r="FK67" i="1" a="1"/>
  <c r="EW36" i="1" a="1"/>
  <c r="FD67" i="1" a="1"/>
  <c r="EP67" i="1" a="1"/>
  <c r="FK8" i="1" a="1"/>
  <c r="FR14" i="1" a="1"/>
  <c r="FR75" i="1" a="1"/>
  <c r="FL97" i="1" a="1"/>
  <c r="FQ48" i="1" a="1"/>
  <c r="FE100" i="1" a="1"/>
  <c r="EV84" i="1" a="1"/>
  <c r="FK19" i="1" a="1"/>
  <c r="EW45" i="1" a="1"/>
  <c r="FK41" i="1" a="1"/>
  <c r="FL90" i="1" a="1"/>
  <c r="EW82" i="1" a="1"/>
  <c r="EP50" i="1" a="1"/>
  <c r="FD63" i="1" a="1"/>
  <c r="FK57" i="1" a="1"/>
  <c r="EW69" i="1" a="1"/>
  <c r="FK51" i="1" a="1"/>
  <c r="EP10" i="1" a="1"/>
  <c r="FK24" i="1" a="1"/>
  <c r="EW72" i="1" a="1"/>
  <c r="FR32" i="1" a="1"/>
  <c r="FK30" i="1" a="1"/>
  <c r="FR80" i="1" a="1"/>
  <c r="FK27" i="1" a="1"/>
  <c r="FR17" i="1" a="1"/>
  <c r="FR10" i="1" a="1"/>
  <c r="FX10" i="1" s="1" a="1"/>
  <c r="EW67" i="1" a="1"/>
  <c r="EP73" i="1" a="1"/>
  <c r="EP71" i="1" a="1"/>
  <c r="EV71" i="1" s="1" a="1"/>
  <c r="FK83" i="1" a="1"/>
  <c r="EW11" i="1" a="1"/>
  <c r="EW81" i="1" a="1"/>
  <c r="FK55" i="1" a="1"/>
  <c r="EP9" i="1" a="1"/>
  <c r="FK82" i="1" a="1"/>
  <c r="FR19" i="1" a="1"/>
  <c r="FD16" i="1" a="1"/>
  <c r="EP40" i="1" a="1"/>
  <c r="FD68" i="1" a="1"/>
  <c r="EP66" i="1" a="1"/>
  <c r="FD9" i="1" a="1"/>
  <c r="EW46" i="1" a="1"/>
  <c r="FS95" i="1" a="1"/>
  <c r="EV66" i="1" a="1"/>
  <c r="FQ37" i="1" a="1"/>
  <c r="FJ67" i="1" a="1"/>
  <c r="EP18" i="1" a="1"/>
  <c r="EP34" i="1" a="1"/>
  <c r="FR25" i="1" a="1"/>
  <c r="FZ88" i="1" a="1"/>
  <c r="FR58" i="1" a="1"/>
  <c r="FD50" i="1" a="1"/>
  <c r="FK71" i="1" a="1"/>
  <c r="FQ51" i="1" a="1"/>
  <c r="FR7" i="1" a="1"/>
  <c r="EP19" i="1" a="1"/>
  <c r="EV19" i="1" s="1" a="1"/>
  <c r="FK20" i="1" a="1"/>
  <c r="FR48" i="1" a="1"/>
  <c r="FS101" i="1" a="1"/>
  <c r="FK47" i="1" a="1"/>
  <c r="FQ47" i="1" s="1" a="1"/>
  <c r="EW27" i="1" a="1"/>
  <c r="FR61" i="1" a="1"/>
  <c r="FD36" i="1" a="1"/>
  <c r="FK69" i="1" a="1"/>
  <c r="FK40" i="1" a="1"/>
  <c r="EP55" i="1" a="1"/>
  <c r="EW63" i="1" a="1"/>
  <c r="FK80" i="1" a="1"/>
  <c r="FD59" i="1" a="1"/>
  <c r="EW48" i="1" a="1"/>
  <c r="EW51" i="1" a="1"/>
  <c r="FD81" i="1" a="1"/>
  <c r="FD39" i="1" a="1"/>
  <c r="EP11" i="1" a="1"/>
  <c r="FD41" i="1" a="1"/>
  <c r="EW14" i="1" a="1"/>
  <c r="FK62" i="1" a="1"/>
  <c r="EW71" i="1" a="1"/>
  <c r="EW53" i="1" a="1"/>
  <c r="EP60" i="1" a="1"/>
  <c r="EP62" i="1" a="1"/>
  <c r="FK73" i="1" a="1"/>
  <c r="FE101" i="1" a="1"/>
  <c r="FZ102" i="1" a="1"/>
  <c r="FJ9" i="1" a="1"/>
  <c r="EP15" i="1" a="1"/>
  <c r="FK60" i="1" a="1"/>
  <c r="FK21" i="1" a="1"/>
  <c r="FQ21" i="1" s="1" a="1"/>
  <c r="FR71" i="1" a="1"/>
  <c r="EP8" i="1" a="1"/>
  <c r="FD10" i="1" a="1"/>
  <c r="FD79" i="1" a="1"/>
  <c r="FR57" i="1" a="1"/>
  <c r="FD18" i="1" a="1"/>
  <c r="FR30" i="1" a="1"/>
  <c r="EW80" i="1" a="1"/>
  <c r="EP64" i="1" a="1"/>
  <c r="GG99" i="1" a="1"/>
  <c r="FK85" i="1" a="1"/>
  <c r="FQ85" i="1" s="1" a="1"/>
  <c r="EW64" i="1" a="1"/>
  <c r="EW58" i="1" a="1"/>
  <c r="FD85" i="1" a="1"/>
  <c r="FK68" i="1" a="1"/>
  <c r="EP83" i="1" a="1"/>
  <c r="EP53" i="1" a="1"/>
  <c r="FD58" i="1" a="1"/>
  <c r="FD14" i="1" a="1"/>
  <c r="FR8" i="1" a="1"/>
  <c r="FR53" i="1" a="1"/>
  <c r="EW78" i="1" a="1"/>
  <c r="EP82" i="1" a="1"/>
  <c r="FR35" i="1" a="1"/>
  <c r="EP74" i="1" a="1"/>
  <c r="FD32" i="1" a="1"/>
  <c r="FR85" i="1" a="1"/>
  <c r="FX85" i="1" s="1" a="1"/>
  <c r="FK84" i="1" a="1"/>
  <c r="FR50" i="1" a="1"/>
  <c r="EW79" i="1" a="1"/>
  <c r="FR49" i="1" a="1"/>
  <c r="EW73" i="1" a="1"/>
  <c r="EP32" i="1" a="1"/>
  <c r="FJ85" i="1" a="1"/>
  <c r="EV11" i="1" a="1"/>
  <c r="EV39" i="1" a="1"/>
  <c r="FD35" i="1" a="1"/>
  <c r="FR42" i="1" a="1"/>
  <c r="EW77" i="1" a="1"/>
  <c r="EW37" i="1" a="1"/>
  <c r="FD72" i="1" a="1"/>
  <c r="EP65" i="1" a="1"/>
  <c r="FD8" i="1" a="1"/>
  <c r="EP59" i="1" a="1"/>
  <c r="FD19" i="1" a="1"/>
  <c r="FK81" i="1" a="1"/>
  <c r="EW43" i="1" a="1"/>
  <c r="FD15" i="1" a="1"/>
  <c r="EW8" i="1" a="1"/>
  <c r="FD48" i="1" a="1"/>
  <c r="EW17" i="1" a="1"/>
  <c r="FD13" i="1" a="1"/>
  <c r="FR47" i="1" a="1"/>
  <c r="FR24" i="1" a="1"/>
  <c r="EW29" i="1" a="1"/>
  <c r="EP46" i="1" a="1"/>
  <c r="FD57" i="1" a="1"/>
  <c r="FK11" i="1" a="1"/>
  <c r="EP28" i="1" a="1"/>
  <c r="FR55" i="1" a="1"/>
  <c r="EW7" i="1" a="1"/>
  <c r="FK53" i="1" a="1"/>
  <c r="FD71" i="1" a="1"/>
  <c r="EP26" i="1" a="1"/>
  <c r="FK25" i="1" a="1"/>
  <c r="FD78" i="1" a="1"/>
  <c r="EW31" i="1" a="1"/>
  <c r="FK64" i="1" a="1"/>
  <c r="FR64" i="1" a="1"/>
  <c r="FC20" i="1" a="1"/>
  <c r="FL101" i="1" a="1"/>
  <c r="GG95" i="1" a="1"/>
  <c r="EP77" i="1" a="1"/>
  <c r="EP72" i="1" a="1"/>
  <c r="FD26" i="1" a="1"/>
  <c r="FK65" i="1" a="1"/>
  <c r="EW9" i="1" a="1"/>
  <c r="FK44" i="1" a="1"/>
  <c r="FR84" i="1" a="1"/>
  <c r="FX84" i="1" s="1" a="1"/>
  <c r="EP36" i="1" a="1"/>
  <c r="FK26" i="1" a="1"/>
  <c r="FR23" i="1" a="1"/>
  <c r="EW15" i="1" a="1"/>
  <c r="E98" i="1" a="1"/>
  <c r="GF13" i="1" l="1"/>
  <c r="GG13" i="1"/>
  <c r="GF45" i="1"/>
  <c r="GF61" i="1"/>
  <c r="GF77" i="1"/>
  <c r="GF35" i="1"/>
  <c r="GG35" i="1"/>
  <c r="GG51" i="1"/>
  <c r="GG67" i="1"/>
  <c r="GG83" i="1"/>
  <c r="GF46" i="1"/>
  <c r="GF34" i="1"/>
  <c r="GG34" i="1"/>
  <c r="GG50" i="1"/>
  <c r="GG66" i="1"/>
  <c r="GG82" i="1"/>
  <c r="GF33" i="1"/>
  <c r="GG33" i="1"/>
  <c r="GG49" i="1"/>
  <c r="GG65" i="1"/>
  <c r="GG81" i="1"/>
  <c r="GF14" i="1"/>
  <c r="GF32" i="1"/>
  <c r="GG32" i="1"/>
  <c r="GG48" i="1"/>
  <c r="GG64" i="1"/>
  <c r="GG80" i="1"/>
  <c r="GF62" i="1"/>
  <c r="GF30" i="1"/>
  <c r="GG30" i="1"/>
  <c r="GG46" i="1"/>
  <c r="GG62" i="1"/>
  <c r="GG78" i="1"/>
  <c r="GF29" i="1"/>
  <c r="GG29" i="1"/>
  <c r="GG45" i="1"/>
  <c r="GG61" i="1"/>
  <c r="GG77" i="1"/>
  <c r="GG14" i="1"/>
  <c r="GF83" i="1"/>
  <c r="GF19" i="1"/>
  <c r="GG19" i="1"/>
  <c r="GF51" i="1"/>
  <c r="GF67" i="1"/>
  <c r="GF82" i="1"/>
  <c r="GF18" i="1"/>
  <c r="GG18" i="1"/>
  <c r="GF50" i="1"/>
  <c r="GF66" i="1"/>
  <c r="GF81" i="1"/>
  <c r="GF17" i="1"/>
  <c r="GG17" i="1"/>
  <c r="GF49" i="1"/>
  <c r="GF65" i="1"/>
  <c r="GF80" i="1"/>
  <c r="GF16" i="1"/>
  <c r="GG16" i="1"/>
  <c r="GF48" i="1"/>
  <c r="GF64" i="1"/>
  <c r="GF78" i="1"/>
  <c r="GG10" i="1"/>
  <c r="GF58" i="1"/>
  <c r="GG55" i="1"/>
  <c r="GF28" i="1"/>
  <c r="GG43" i="1"/>
  <c r="GG75" i="1"/>
  <c r="GF27" i="1"/>
  <c r="GG42" i="1"/>
  <c r="GG74" i="1"/>
  <c r="GF26" i="1"/>
  <c r="GF55" i="1"/>
  <c r="GF76" i="1"/>
  <c r="GF44" i="1"/>
  <c r="GF75" i="1"/>
  <c r="GF43" i="1"/>
  <c r="GF74" i="1"/>
  <c r="GF12" i="1"/>
  <c r="GF42" i="1"/>
  <c r="GF11" i="1"/>
  <c r="GG28" i="1"/>
  <c r="GG39" i="1"/>
  <c r="GG71" i="1"/>
  <c r="GF10" i="1"/>
  <c r="GG27" i="1"/>
  <c r="GG60" i="1"/>
  <c r="GG26" i="1"/>
  <c r="GG59" i="1"/>
  <c r="GG44" i="1"/>
  <c r="GG23" i="1"/>
  <c r="GG58" i="1"/>
  <c r="GF7" i="1"/>
  <c r="GF39" i="1"/>
  <c r="GF71" i="1"/>
  <c r="GG76" i="1"/>
  <c r="GG7" i="1"/>
  <c r="GG12" i="1"/>
  <c r="GF60" i="1"/>
  <c r="GF23" i="1"/>
  <c r="GG11" i="1"/>
  <c r="GF59" i="1"/>
  <c r="E98" i="1"/>
  <c r="A10" i="18"/>
  <c r="EW102" i="1"/>
  <c r="EW101" i="1"/>
  <c r="EW100" i="1"/>
  <c r="EW99" i="1"/>
  <c r="EW98" i="1"/>
  <c r="EW97" i="1"/>
  <c r="EW96" i="1"/>
  <c r="EW95" i="1"/>
  <c r="EW94" i="1"/>
  <c r="EW93" i="1"/>
  <c r="EW92" i="1"/>
  <c r="EW91" i="1"/>
  <c r="EW90" i="1"/>
  <c r="EW89" i="1"/>
  <c r="EW88" i="1"/>
  <c r="FX10" i="1"/>
  <c r="FQ21" i="1"/>
  <c r="FJ9" i="1"/>
  <c r="FJ7" i="1"/>
  <c r="FX31" i="1"/>
  <c r="FQ37" i="1"/>
  <c r="FQ47" i="1"/>
  <c r="FQ51" i="1"/>
  <c r="FQ43" i="1"/>
  <c r="FQ48" i="1"/>
  <c r="FJ44" i="1"/>
  <c r="FX60" i="1"/>
  <c r="FQ63" i="1"/>
  <c r="FJ69" i="1"/>
  <c r="FJ67" i="1"/>
  <c r="FX85" i="1"/>
  <c r="FX84" i="1"/>
  <c r="FX82" i="1"/>
  <c r="FQ85" i="1"/>
  <c r="FJ85" i="1"/>
  <c r="GG95" i="1"/>
  <c r="GG102" i="1"/>
  <c r="GG92" i="1"/>
  <c r="GG99" i="1"/>
  <c r="FZ102" i="1"/>
  <c r="FZ88" i="1"/>
  <c r="FS96" i="1"/>
  <c r="FS95" i="1"/>
  <c r="FS101" i="1"/>
  <c r="FS88" i="1"/>
  <c r="FL95" i="1"/>
  <c r="FL102" i="1"/>
  <c r="FL101" i="1"/>
  <c r="FL91" i="1"/>
  <c r="FL90" i="1"/>
  <c r="FL97" i="1"/>
  <c r="FC85" i="1"/>
  <c r="FC50" i="1"/>
  <c r="FC49" i="1"/>
  <c r="FC32" i="1"/>
  <c r="FC13" i="1"/>
  <c r="FC20" i="1"/>
  <c r="FE101" i="1"/>
  <c r="FE100" i="1"/>
  <c r="FE99" i="1"/>
  <c r="EV84" i="1"/>
  <c r="EV71" i="1"/>
  <c r="EV66" i="1"/>
  <c r="EV39" i="1"/>
  <c r="EV21" i="1"/>
  <c r="EV19" i="1"/>
  <c r="EV11" i="1"/>
  <c r="DQ94" i="1"/>
  <c r="DQ76" i="1"/>
  <c r="DQ59" i="1"/>
  <c r="DQ42" i="1"/>
  <c r="DQ25" i="1"/>
  <c r="DQ8" i="1"/>
  <c r="DQ26" i="1"/>
  <c r="DQ93" i="1"/>
  <c r="DQ75" i="1"/>
  <c r="DQ58" i="1"/>
  <c r="DQ41" i="1"/>
  <c r="DQ24" i="1"/>
  <c r="DQ7" i="1"/>
  <c r="DQ92" i="1"/>
  <c r="DQ74" i="1"/>
  <c r="DQ57" i="1"/>
  <c r="DQ40" i="1"/>
  <c r="DQ23" i="1"/>
  <c r="DQ91" i="1"/>
  <c r="DQ73" i="1"/>
  <c r="DQ56" i="1"/>
  <c r="DQ39" i="1"/>
  <c r="DQ21" i="1"/>
  <c r="DQ96" i="1"/>
  <c r="DQ90" i="1"/>
  <c r="DQ72" i="1"/>
  <c r="DQ55" i="1"/>
  <c r="DQ37" i="1"/>
  <c r="DQ20" i="1"/>
  <c r="DQ78" i="1"/>
  <c r="DQ89" i="1"/>
  <c r="DQ71" i="1"/>
  <c r="DQ53" i="1"/>
  <c r="DQ36" i="1"/>
  <c r="DQ19" i="1"/>
  <c r="DQ9" i="1"/>
  <c r="DQ88" i="1"/>
  <c r="DQ69" i="1"/>
  <c r="DQ52" i="1"/>
  <c r="DQ35" i="1"/>
  <c r="DQ18" i="1"/>
  <c r="DQ43" i="1"/>
  <c r="DQ85" i="1"/>
  <c r="DQ68" i="1"/>
  <c r="DQ51" i="1"/>
  <c r="DQ34" i="1"/>
  <c r="DQ17" i="1"/>
  <c r="DQ102" i="1"/>
  <c r="DQ84" i="1"/>
  <c r="DQ67" i="1"/>
  <c r="DQ50" i="1"/>
  <c r="DQ33" i="1"/>
  <c r="DQ16" i="1"/>
  <c r="DQ10" i="1"/>
  <c r="DQ101" i="1"/>
  <c r="DQ83" i="1"/>
  <c r="DQ66" i="1"/>
  <c r="DQ49" i="1"/>
  <c r="DQ32" i="1"/>
  <c r="DQ15" i="1"/>
  <c r="DQ100" i="1"/>
  <c r="DQ82" i="1"/>
  <c r="DQ65" i="1"/>
  <c r="DQ48" i="1"/>
  <c r="DQ31" i="1"/>
  <c r="DQ14" i="1"/>
  <c r="DQ61" i="1"/>
  <c r="DQ99" i="1"/>
  <c r="DQ81" i="1"/>
  <c r="DQ64" i="1"/>
  <c r="DQ47" i="1"/>
  <c r="DQ30" i="1"/>
  <c r="DQ13" i="1"/>
  <c r="DQ44" i="1"/>
  <c r="DQ60" i="1"/>
  <c r="DQ98" i="1"/>
  <c r="DQ80" i="1"/>
  <c r="DQ63" i="1"/>
  <c r="DQ46" i="1"/>
  <c r="DQ29" i="1"/>
  <c r="DQ12" i="1"/>
  <c r="DQ77" i="1"/>
  <c r="DQ97" i="1"/>
  <c r="DQ79" i="1"/>
  <c r="DQ62" i="1"/>
  <c r="DQ45" i="1"/>
  <c r="DQ28" i="1"/>
  <c r="DQ11" i="1"/>
  <c r="DQ27" i="1"/>
  <c r="DQ95" i="1"/>
  <c r="EP7" i="1"/>
  <c r="EP23" i="1"/>
  <c r="EM21" i="1"/>
  <c r="FZ29" i="1"/>
  <c r="FZ14" i="1"/>
  <c r="FZ37" i="1"/>
  <c r="FZ44" i="1"/>
  <c r="FZ40" i="1"/>
  <c r="FZ36" i="1"/>
  <c r="FZ23" i="1"/>
  <c r="FZ43" i="1"/>
  <c r="FZ35" i="1"/>
  <c r="FZ63" i="1"/>
  <c r="FZ66" i="1"/>
  <c r="FZ42" i="1"/>
  <c r="FZ21" i="1"/>
  <c r="FZ11" i="1"/>
  <c r="FZ83" i="1"/>
  <c r="FZ18" i="1"/>
  <c r="FZ55" i="1"/>
  <c r="FZ71" i="1"/>
  <c r="FZ82" i="1"/>
  <c r="FZ57" i="1"/>
  <c r="FZ27" i="1"/>
  <c r="FZ30" i="1"/>
  <c r="FZ34" i="1"/>
  <c r="FZ53" i="1"/>
  <c r="FZ39" i="1"/>
  <c r="FZ77" i="1"/>
  <c r="FZ50" i="1"/>
  <c r="FZ41" i="1"/>
  <c r="FZ49" i="1"/>
  <c r="FZ32" i="1"/>
  <c r="FZ62" i="1"/>
  <c r="FZ59" i="1"/>
  <c r="FZ17" i="1"/>
  <c r="FZ61" i="1"/>
  <c r="FZ15" i="1"/>
  <c r="FZ56" i="1"/>
  <c r="FZ73" i="1"/>
  <c r="FZ79" i="1"/>
  <c r="FZ81" i="1"/>
  <c r="FZ33" i="1"/>
  <c r="FZ67" i="1"/>
  <c r="FZ7" i="1"/>
  <c r="FZ52" i="1"/>
  <c r="FZ12" i="1"/>
  <c r="FZ20" i="1"/>
  <c r="FZ48" i="1"/>
  <c r="FZ8" i="1"/>
  <c r="FZ25" i="1"/>
  <c r="FZ9" i="1"/>
  <c r="FZ69" i="1"/>
  <c r="FZ58" i="1"/>
  <c r="FZ19" i="1"/>
  <c r="FZ46" i="1"/>
  <c r="FZ31" i="1"/>
  <c r="FZ45" i="1"/>
  <c r="FZ84" i="1"/>
  <c r="FZ64" i="1"/>
  <c r="FZ28" i="1"/>
  <c r="FZ65" i="1"/>
  <c r="FZ80" i="1"/>
  <c r="FZ47" i="1"/>
  <c r="FZ51" i="1"/>
  <c r="FZ85" i="1"/>
  <c r="FZ75" i="1"/>
  <c r="FZ68" i="1"/>
  <c r="FZ60" i="1"/>
  <c r="FZ10" i="1"/>
  <c r="FZ72" i="1"/>
  <c r="FZ24" i="1"/>
  <c r="FZ16" i="1"/>
  <c r="FZ74" i="1"/>
  <c r="FZ78" i="1"/>
  <c r="FZ13" i="1"/>
  <c r="FZ26" i="1"/>
  <c r="FZ76" i="1"/>
  <c r="GF9" i="1"/>
  <c r="GG31" i="1"/>
  <c r="GF79" i="1"/>
  <c r="GF8" i="1"/>
  <c r="GF57" i="1"/>
  <c r="GF56" i="1"/>
  <c r="GG57" i="1"/>
  <c r="GG56" i="1"/>
  <c r="GF47" i="1"/>
  <c r="GG79" i="1"/>
  <c r="GG41" i="1"/>
  <c r="GF25" i="1"/>
  <c r="GG47" i="1"/>
  <c r="GG8" i="1"/>
  <c r="GF24" i="1"/>
  <c r="GF15" i="1"/>
  <c r="GG9" i="1"/>
  <c r="GG25" i="1"/>
  <c r="GF63" i="1"/>
  <c r="GF73" i="1"/>
  <c r="GG24" i="1"/>
  <c r="GF72" i="1"/>
  <c r="GG40" i="1"/>
  <c r="GF31" i="1"/>
  <c r="GF41" i="1"/>
  <c r="GG63" i="1"/>
  <c r="GG73" i="1"/>
  <c r="GG15" i="1"/>
  <c r="GF40" i="1"/>
  <c r="GG72" i="1"/>
  <c r="DV7" i="1"/>
  <c r="EJ60" i="1"/>
  <c r="EJ32" i="1"/>
  <c r="EJ43" i="1"/>
  <c r="EJ21" i="1"/>
  <c r="EJ67" i="1"/>
  <c r="EJ34" i="1"/>
  <c r="EJ75" i="1"/>
  <c r="EJ78" i="1"/>
  <c r="EJ17" i="1"/>
  <c r="EJ74" i="1"/>
  <c r="EJ51" i="1"/>
  <c r="EJ37" i="1"/>
  <c r="EJ31" i="1"/>
  <c r="EJ53" i="1"/>
  <c r="EJ45" i="1"/>
  <c r="EJ33" i="1"/>
  <c r="EJ20" i="1"/>
  <c r="EJ35" i="1"/>
  <c r="EJ13" i="1"/>
  <c r="EJ63" i="1"/>
  <c r="EJ68" i="1"/>
  <c r="EJ8" i="1"/>
  <c r="EJ25" i="1"/>
  <c r="EJ64" i="1"/>
  <c r="EJ42" i="1"/>
  <c r="EJ77" i="1"/>
  <c r="EJ72" i="1"/>
  <c r="EJ29" i="1"/>
  <c r="EJ36" i="1"/>
  <c r="EJ73" i="1"/>
  <c r="EJ83" i="1"/>
  <c r="EJ30" i="1"/>
  <c r="EJ59" i="1"/>
  <c r="EJ69" i="1"/>
  <c r="EJ26" i="1"/>
  <c r="EJ48" i="1"/>
  <c r="EJ56" i="1"/>
  <c r="EJ82" i="1"/>
  <c r="EJ10" i="1"/>
  <c r="EJ61" i="1"/>
  <c r="EJ14" i="1"/>
  <c r="EJ24" i="1"/>
  <c r="EJ15" i="1"/>
  <c r="EJ9" i="1"/>
  <c r="EJ62" i="1"/>
  <c r="EJ85" i="1"/>
  <c r="EJ58" i="1"/>
  <c r="EJ40" i="1"/>
  <c r="EJ18" i="1"/>
  <c r="EJ81" i="1"/>
  <c r="EJ66" i="1"/>
  <c r="EJ80" i="1"/>
  <c r="EJ28" i="1"/>
  <c r="EJ65" i="1"/>
  <c r="EJ50" i="1"/>
  <c r="EJ12" i="1"/>
  <c r="EJ47" i="1"/>
  <c r="EJ11" i="1"/>
  <c r="EJ27" i="1"/>
  <c r="EJ46" i="1"/>
  <c r="EJ79" i="1"/>
  <c r="EJ52" i="1"/>
  <c r="EJ41" i="1"/>
  <c r="EJ44" i="1"/>
  <c r="EJ84" i="1"/>
  <c r="EJ16" i="1"/>
  <c r="EJ49" i="1"/>
  <c r="EJ76" i="1"/>
  <c r="EJ19" i="1"/>
  <c r="EJ57" i="1"/>
  <c r="EJ39" i="1"/>
  <c r="EJ71" i="1"/>
  <c r="EJ23" i="1"/>
  <c r="EJ55" i="1"/>
  <c r="EJ7" i="1"/>
  <c r="GA96" i="1"/>
  <c r="GA95" i="1"/>
  <c r="GA92" i="1"/>
  <c r="GA100" i="1"/>
  <c r="GA93" i="1"/>
  <c r="GA91" i="1"/>
  <c r="GA102" i="1"/>
  <c r="GA99" i="1"/>
  <c r="GA90" i="1"/>
  <c r="GA94" i="1"/>
  <c r="GA98" i="1"/>
  <c r="GA101" i="1"/>
  <c r="GA97" i="1"/>
  <c r="GA89" i="1"/>
  <c r="GA88" i="1"/>
  <c r="FR76" i="1"/>
  <c r="FR75" i="1"/>
  <c r="FR74" i="1"/>
  <c r="FR78" i="1"/>
  <c r="FR82" i="1"/>
  <c r="FR77" i="1"/>
  <c r="FR73" i="1"/>
  <c r="FR79" i="1"/>
  <c r="FR85" i="1"/>
  <c r="FR83" i="1"/>
  <c r="FR81" i="1"/>
  <c r="FR84" i="1"/>
  <c r="FR80" i="1"/>
  <c r="FR72" i="1"/>
  <c r="FR71" i="1"/>
  <c r="FR69" i="1"/>
  <c r="FR58" i="1"/>
  <c r="FR68" i="1"/>
  <c r="FR60" i="1"/>
  <c r="FR66" i="1"/>
  <c r="FR57" i="1"/>
  <c r="FR62" i="1"/>
  <c r="FR59" i="1"/>
  <c r="FR65" i="1"/>
  <c r="FR63" i="1"/>
  <c r="FR61" i="1"/>
  <c r="FR67" i="1"/>
  <c r="FR64" i="1"/>
  <c r="FR56" i="1"/>
  <c r="FR55" i="1"/>
  <c r="FR47" i="1"/>
  <c r="FR51" i="1"/>
  <c r="FR43" i="1"/>
  <c r="FR42" i="1"/>
  <c r="FR50" i="1"/>
  <c r="FR41" i="1"/>
  <c r="FR45" i="1"/>
  <c r="FR44" i="1"/>
  <c r="FR49" i="1"/>
  <c r="FR46" i="1"/>
  <c r="FR53" i="1"/>
  <c r="FR52" i="1"/>
  <c r="FR48" i="1"/>
  <c r="FR40" i="1"/>
  <c r="FR39" i="1"/>
  <c r="FR28" i="1"/>
  <c r="FR29" i="1"/>
  <c r="FR35" i="1"/>
  <c r="FR27" i="1"/>
  <c r="FR30" i="1"/>
  <c r="FR36" i="1"/>
  <c r="FR26" i="1"/>
  <c r="FR34" i="1"/>
  <c r="FR25" i="1"/>
  <c r="FR31" i="1"/>
  <c r="FR37" i="1"/>
  <c r="FR33" i="1"/>
  <c r="FR32" i="1"/>
  <c r="FR24" i="1"/>
  <c r="FR23" i="1"/>
  <c r="FR13" i="1"/>
  <c r="FR14" i="1"/>
  <c r="FR21" i="1"/>
  <c r="FR11" i="1"/>
  <c r="FR19" i="1"/>
  <c r="FR10" i="1"/>
  <c r="FR18" i="1"/>
  <c r="FR20" i="1"/>
  <c r="FR9" i="1"/>
  <c r="FR17" i="1"/>
  <c r="FR15" i="1"/>
  <c r="FR12" i="1"/>
  <c r="FR16" i="1"/>
  <c r="FR8" i="1"/>
  <c r="FR7" i="1"/>
  <c r="FK55" i="1"/>
  <c r="FT102" i="1"/>
  <c r="FT100" i="1"/>
  <c r="FT95" i="1"/>
  <c r="FT92" i="1"/>
  <c r="FT91" i="1"/>
  <c r="FT96" i="1"/>
  <c r="FT93" i="1"/>
  <c r="FT99" i="1"/>
  <c r="FT94" i="1"/>
  <c r="FT90" i="1"/>
  <c r="FT98" i="1"/>
  <c r="FT101" i="1"/>
  <c r="FT97" i="1"/>
  <c r="FT89" i="1"/>
  <c r="FT88" i="1"/>
  <c r="FK83" i="1"/>
  <c r="FK77" i="1"/>
  <c r="FK74" i="1"/>
  <c r="FK85" i="1"/>
  <c r="FK75" i="1"/>
  <c r="FK73" i="1"/>
  <c r="FK78" i="1"/>
  <c r="FK84" i="1"/>
  <c r="FK82" i="1"/>
  <c r="FK81" i="1"/>
  <c r="FK79" i="1"/>
  <c r="FK76" i="1"/>
  <c r="FK80" i="1"/>
  <c r="FK72" i="1"/>
  <c r="FK71" i="1"/>
  <c r="FK60" i="1"/>
  <c r="FK59" i="1"/>
  <c r="FK61" i="1"/>
  <c r="FK67" i="1"/>
  <c r="FK58" i="1"/>
  <c r="FK63" i="1"/>
  <c r="FK66" i="1"/>
  <c r="FK68" i="1"/>
  <c r="FK57" i="1"/>
  <c r="FK65" i="1"/>
  <c r="FK62" i="1"/>
  <c r="FK69" i="1"/>
  <c r="FK64" i="1"/>
  <c r="FK56" i="1"/>
  <c r="FK46" i="1"/>
  <c r="FK43" i="1"/>
  <c r="FK52" i="1"/>
  <c r="FK42" i="1"/>
  <c r="FK50" i="1"/>
  <c r="FK47" i="1"/>
  <c r="FK45" i="1"/>
  <c r="FK49" i="1"/>
  <c r="FK41" i="1"/>
  <c r="FK51" i="1"/>
  <c r="FK53" i="1"/>
  <c r="FK44" i="1"/>
  <c r="FK48" i="1"/>
  <c r="FK40" i="1"/>
  <c r="FK39" i="1"/>
  <c r="FK31" i="1"/>
  <c r="FK27" i="1"/>
  <c r="FK34" i="1"/>
  <c r="FK25" i="1"/>
  <c r="FK30" i="1"/>
  <c r="FK29" i="1"/>
  <c r="FK28" i="1"/>
  <c r="FK26" i="1"/>
  <c r="FK33" i="1"/>
  <c r="FK37" i="1"/>
  <c r="FK36" i="1"/>
  <c r="FK35" i="1"/>
  <c r="FK32" i="1"/>
  <c r="FK24" i="1"/>
  <c r="FK23" i="1"/>
  <c r="FK15" i="1"/>
  <c r="FK13" i="1"/>
  <c r="FK10" i="1"/>
  <c r="FK20" i="1"/>
  <c r="FK17" i="1"/>
  <c r="FK21" i="1"/>
  <c r="FK11" i="1"/>
  <c r="FK18" i="1"/>
  <c r="FK9" i="1"/>
  <c r="FK14" i="1"/>
  <c r="FK12" i="1"/>
  <c r="FK19" i="1"/>
  <c r="FK16" i="1"/>
  <c r="FK8" i="1"/>
  <c r="FK7" i="1"/>
  <c r="FM100" i="1"/>
  <c r="FM95" i="1"/>
  <c r="FM92" i="1"/>
  <c r="FM91" i="1"/>
  <c r="FM102" i="1"/>
  <c r="FM99" i="1"/>
  <c r="FM93" i="1"/>
  <c r="FM90" i="1"/>
  <c r="FM96" i="1"/>
  <c r="FM101" i="1"/>
  <c r="FM98" i="1"/>
  <c r="FM94" i="1"/>
  <c r="FM97" i="1"/>
  <c r="FM89" i="1"/>
  <c r="FM88" i="1"/>
  <c r="FD78" i="1"/>
  <c r="FD84" i="1"/>
  <c r="FD75" i="1"/>
  <c r="FD79" i="1"/>
  <c r="FD83" i="1"/>
  <c r="FD77" i="1"/>
  <c r="FD74" i="1"/>
  <c r="FD85" i="1"/>
  <c r="FD82" i="1"/>
  <c r="FD73" i="1"/>
  <c r="FD76" i="1"/>
  <c r="FD81" i="1"/>
  <c r="FD80" i="1"/>
  <c r="FD72" i="1"/>
  <c r="FD71" i="1"/>
  <c r="FD59" i="1"/>
  <c r="FD62" i="1"/>
  <c r="FD60" i="1"/>
  <c r="FD58" i="1"/>
  <c r="FD63" i="1"/>
  <c r="FD69" i="1"/>
  <c r="FD66" i="1"/>
  <c r="FD61" i="1"/>
  <c r="FD67" i="1"/>
  <c r="FD57" i="1"/>
  <c r="FD65" i="1"/>
  <c r="FD68" i="1"/>
  <c r="FD64" i="1"/>
  <c r="FD56" i="1"/>
  <c r="FD55" i="1"/>
  <c r="FD45" i="1"/>
  <c r="FD43" i="1"/>
  <c r="FD47" i="1"/>
  <c r="FD44" i="1"/>
  <c r="FD42" i="1"/>
  <c r="FD46" i="1"/>
  <c r="FD50" i="1"/>
  <c r="FD49" i="1"/>
  <c r="FD52" i="1"/>
  <c r="FD51" i="1"/>
  <c r="FD41" i="1"/>
  <c r="FD53" i="1"/>
  <c r="FD48" i="1"/>
  <c r="FD40" i="1"/>
  <c r="FD39" i="1"/>
  <c r="FD31" i="1"/>
  <c r="FD37" i="1"/>
  <c r="FD35" i="1"/>
  <c r="FD29" i="1"/>
  <c r="FD28" i="1"/>
  <c r="FD27" i="1"/>
  <c r="FD30" i="1"/>
  <c r="FD26" i="1"/>
  <c r="FD34" i="1"/>
  <c r="FD25" i="1"/>
  <c r="FD33" i="1"/>
  <c r="FD36" i="1"/>
  <c r="FD32" i="1"/>
  <c r="FD24" i="1"/>
  <c r="FD23" i="1"/>
  <c r="FD12" i="1"/>
  <c r="FD13" i="1"/>
  <c r="FD19" i="1"/>
  <c r="FD11" i="1"/>
  <c r="FD14" i="1"/>
  <c r="FD20" i="1"/>
  <c r="FD10" i="1"/>
  <c r="FD18" i="1"/>
  <c r="FD21" i="1"/>
  <c r="FD9" i="1"/>
  <c r="FD15" i="1"/>
  <c r="FD17" i="1"/>
  <c r="FD16" i="1"/>
  <c r="FD8" i="1"/>
  <c r="FD7" i="1"/>
  <c r="EF28" i="1"/>
  <c r="EG28" i="1"/>
  <c r="EG27" i="1"/>
  <c r="EF27" i="1"/>
  <c r="EG77" i="1"/>
  <c r="EF77" i="1"/>
  <c r="EF84" i="1"/>
  <c r="EG84" i="1"/>
  <c r="EG59" i="1"/>
  <c r="EF59" i="1"/>
  <c r="EF63" i="1"/>
  <c r="EG63" i="1"/>
  <c r="EF53" i="1"/>
  <c r="EG53" i="1"/>
  <c r="EG78" i="1"/>
  <c r="EF78" i="1"/>
  <c r="EG9" i="1"/>
  <c r="EF9" i="1"/>
  <c r="EF45" i="1"/>
  <c r="EG45" i="1"/>
  <c r="EG71" i="1"/>
  <c r="EF71" i="1"/>
  <c r="EF83" i="1"/>
  <c r="EG83" i="1"/>
  <c r="EG69" i="1"/>
  <c r="EF69" i="1"/>
  <c r="EF85" i="1"/>
  <c r="EG85" i="1"/>
  <c r="EF65" i="1"/>
  <c r="EG65" i="1"/>
  <c r="EF46" i="1"/>
  <c r="EG46" i="1"/>
  <c r="EG37" i="1"/>
  <c r="EF37" i="1"/>
  <c r="EF16" i="1"/>
  <c r="EG16" i="1"/>
  <c r="EG11" i="1"/>
  <c r="EF11" i="1"/>
  <c r="EF67" i="1"/>
  <c r="EG67" i="1"/>
  <c r="EG34" i="1"/>
  <c r="EF34" i="1"/>
  <c r="EF17" i="1"/>
  <c r="EG17" i="1"/>
  <c r="EF66" i="1"/>
  <c r="EG66" i="1"/>
  <c r="EG33" i="1"/>
  <c r="EF33" i="1"/>
  <c r="EG36" i="1"/>
  <c r="EF36" i="1"/>
  <c r="EG61" i="1"/>
  <c r="EF61" i="1"/>
  <c r="EF26" i="1"/>
  <c r="EG26" i="1"/>
  <c r="EG14" i="1"/>
  <c r="EF14" i="1"/>
  <c r="EG58" i="1"/>
  <c r="EF58" i="1"/>
  <c r="EG50" i="1"/>
  <c r="EF50" i="1"/>
  <c r="EG79" i="1"/>
  <c r="EF79" i="1"/>
  <c r="EG57" i="1"/>
  <c r="EF57" i="1"/>
  <c r="EF49" i="1"/>
  <c r="EG49" i="1"/>
  <c r="EG32" i="1"/>
  <c r="EF32" i="1"/>
  <c r="EG10" i="1"/>
  <c r="EF10" i="1"/>
  <c r="EG43" i="1"/>
  <c r="EF43" i="1"/>
  <c r="EG20" i="1"/>
  <c r="EF20" i="1"/>
  <c r="EG25" i="1"/>
  <c r="EF25" i="1"/>
  <c r="EG73" i="1"/>
  <c r="EF73" i="1"/>
  <c r="EG62" i="1"/>
  <c r="EF62" i="1"/>
  <c r="EF48" i="1"/>
  <c r="EG48" i="1"/>
  <c r="EG12" i="1"/>
  <c r="EF12" i="1"/>
  <c r="EF52" i="1"/>
  <c r="EG52" i="1"/>
  <c r="EG60" i="1"/>
  <c r="EF60" i="1"/>
  <c r="EG76" i="1"/>
  <c r="EF76" i="1"/>
  <c r="EG13" i="1"/>
  <c r="EF13" i="1"/>
  <c r="EF29" i="1"/>
  <c r="EG29" i="1"/>
  <c r="EG75" i="1"/>
  <c r="EF75" i="1"/>
  <c r="EG74" i="1"/>
  <c r="EF74" i="1"/>
  <c r="EF64" i="1"/>
  <c r="EG64" i="1"/>
  <c r="EF80" i="1"/>
  <c r="EG80" i="1"/>
  <c r="EG23" i="1"/>
  <c r="EF23" i="1"/>
  <c r="EG15" i="1"/>
  <c r="EF15" i="1"/>
  <c r="EF18" i="1"/>
  <c r="EG18" i="1"/>
  <c r="EF47" i="1"/>
  <c r="EG47" i="1"/>
  <c r="EG41" i="1"/>
  <c r="EF41" i="1"/>
  <c r="EF81" i="1"/>
  <c r="EG81" i="1"/>
  <c r="EG39" i="1"/>
  <c r="EF39" i="1"/>
  <c r="EF31" i="1"/>
  <c r="EG31" i="1"/>
  <c r="EG21" i="1"/>
  <c r="EF21" i="1"/>
  <c r="EG7" i="1"/>
  <c r="EF7" i="1"/>
  <c r="EG51" i="1"/>
  <c r="EF51" i="1"/>
  <c r="EG68" i="1"/>
  <c r="EF68" i="1"/>
  <c r="EG35" i="1"/>
  <c r="EF35" i="1"/>
  <c r="EG42" i="1"/>
  <c r="EF42" i="1"/>
  <c r="EF82" i="1"/>
  <c r="EG82" i="1"/>
  <c r="EG55" i="1"/>
  <c r="EF55" i="1"/>
  <c r="EG44" i="1"/>
  <c r="EF44" i="1"/>
  <c r="EF30" i="1"/>
  <c r="EG30" i="1"/>
  <c r="EF19" i="1"/>
  <c r="EG19" i="1"/>
  <c r="EF8" i="1"/>
  <c r="EG8" i="1"/>
  <c r="EF24" i="1"/>
  <c r="EG24" i="1"/>
  <c r="EG40" i="1"/>
  <c r="EF40" i="1"/>
  <c r="EF56" i="1"/>
  <c r="EG56" i="1"/>
  <c r="EG72" i="1"/>
  <c r="EF72" i="1"/>
  <c r="FF96" i="1"/>
  <c r="FF94" i="1"/>
  <c r="FF93" i="1"/>
  <c r="FF92" i="1"/>
  <c r="FF91" i="1"/>
  <c r="FF102" i="1"/>
  <c r="FF101" i="1"/>
  <c r="FF98" i="1"/>
  <c r="FF90" i="1"/>
  <c r="FF95" i="1"/>
  <c r="FF100" i="1"/>
  <c r="FF99" i="1"/>
  <c r="FF97" i="1"/>
  <c r="FF89" i="1"/>
  <c r="FF88" i="1"/>
  <c r="EW85" i="1"/>
  <c r="EW77" i="1"/>
  <c r="EW84" i="1"/>
  <c r="EW76" i="1"/>
  <c r="EW83" i="1"/>
  <c r="EW75" i="1"/>
  <c r="EW79" i="1"/>
  <c r="EW82" i="1"/>
  <c r="EW74" i="1"/>
  <c r="EW78" i="1"/>
  <c r="EW81" i="1"/>
  <c r="EW73" i="1"/>
  <c r="EW80" i="1"/>
  <c r="EW72" i="1"/>
  <c r="EW71" i="1"/>
  <c r="EW60" i="1"/>
  <c r="EW59" i="1"/>
  <c r="EW67" i="1"/>
  <c r="EW69" i="1"/>
  <c r="EW66" i="1"/>
  <c r="EW58" i="1"/>
  <c r="EW65" i="1"/>
  <c r="EW57" i="1"/>
  <c r="EW68" i="1"/>
  <c r="EW63" i="1"/>
  <c r="EW62" i="1"/>
  <c r="EW61" i="1"/>
  <c r="EW64" i="1"/>
  <c r="EW56" i="1"/>
  <c r="EW55" i="1"/>
  <c r="EW47" i="1"/>
  <c r="EW45" i="1"/>
  <c r="EW53" i="1"/>
  <c r="EW52" i="1"/>
  <c r="EW51" i="1"/>
  <c r="EW43" i="1"/>
  <c r="EW44" i="1"/>
  <c r="EW46" i="1"/>
  <c r="EW50" i="1"/>
  <c r="EW42" i="1"/>
  <c r="EW49" i="1"/>
  <c r="EW41" i="1"/>
  <c r="EW48" i="1"/>
  <c r="EW40" i="1"/>
  <c r="EW39" i="1"/>
  <c r="EW28" i="1"/>
  <c r="EW27" i="1"/>
  <c r="EW31" i="1"/>
  <c r="EW30" i="1"/>
  <c r="EW36" i="1"/>
  <c r="EW35" i="1"/>
  <c r="EW34" i="1"/>
  <c r="EW26" i="1"/>
  <c r="EW29" i="1"/>
  <c r="EW25" i="1"/>
  <c r="EW33" i="1"/>
  <c r="EW37" i="1"/>
  <c r="EW32" i="1"/>
  <c r="EW24" i="1"/>
  <c r="EW23" i="1"/>
  <c r="EW15" i="1"/>
  <c r="EW12" i="1"/>
  <c r="EW19" i="1"/>
  <c r="EW11" i="1"/>
  <c r="EW14" i="1"/>
  <c r="EW18" i="1"/>
  <c r="EW10" i="1"/>
  <c r="EW13" i="1"/>
  <c r="EW17" i="1"/>
  <c r="EW9" i="1"/>
  <c r="EW21" i="1"/>
  <c r="EW20" i="1"/>
  <c r="EW16" i="1"/>
  <c r="EW8" i="1"/>
  <c r="EW7" i="1"/>
  <c r="EP12" i="1"/>
  <c r="EP15" i="1"/>
  <c r="EP21" i="1"/>
  <c r="EP19" i="1"/>
  <c r="EP11" i="1"/>
  <c r="EP10" i="1"/>
  <c r="EP18" i="1"/>
  <c r="EP13" i="1"/>
  <c r="EP9" i="1"/>
  <c r="EP14" i="1"/>
  <c r="EP20" i="1"/>
  <c r="EP17" i="1"/>
  <c r="EP16" i="1"/>
  <c r="EP8" i="1"/>
  <c r="EP31" i="1"/>
  <c r="EP30" i="1"/>
  <c r="EP28" i="1"/>
  <c r="EP36" i="1"/>
  <c r="EP27" i="1"/>
  <c r="EP35" i="1"/>
  <c r="EP26" i="1"/>
  <c r="EP29" i="1"/>
  <c r="EP34" i="1"/>
  <c r="EP25" i="1"/>
  <c r="EP37" i="1"/>
  <c r="EP33" i="1"/>
  <c r="EP32" i="1"/>
  <c r="EP24" i="1"/>
  <c r="EP44" i="1"/>
  <c r="EP52" i="1"/>
  <c r="EP51" i="1"/>
  <c r="EP53" i="1"/>
  <c r="EP43" i="1"/>
  <c r="EP47" i="1"/>
  <c r="EP42" i="1"/>
  <c r="EP45" i="1"/>
  <c r="EP50" i="1"/>
  <c r="EP46" i="1"/>
  <c r="EP41" i="1"/>
  <c r="EP49" i="1"/>
  <c r="EP48" i="1"/>
  <c r="EP40" i="1"/>
  <c r="EP39" i="1"/>
  <c r="EP63" i="1"/>
  <c r="EP60" i="1"/>
  <c r="EP68" i="1"/>
  <c r="EP61" i="1"/>
  <c r="EP59" i="1"/>
  <c r="EP67" i="1"/>
  <c r="EP58" i="1"/>
  <c r="EP69" i="1"/>
  <c r="EP65" i="1"/>
  <c r="EP66" i="1"/>
  <c r="EP57" i="1"/>
  <c r="EP62" i="1"/>
  <c r="EP64" i="1"/>
  <c r="EP56" i="1"/>
  <c r="EP55" i="1"/>
  <c r="EP84" i="1"/>
  <c r="EP76" i="1"/>
  <c r="EP78" i="1"/>
  <c r="EP83" i="1"/>
  <c r="EP77" i="1"/>
  <c r="EP75" i="1"/>
  <c r="EP74" i="1"/>
  <c r="EP85" i="1"/>
  <c r="EP82" i="1"/>
  <c r="EP79" i="1"/>
  <c r="EP73" i="1"/>
  <c r="EP81" i="1"/>
  <c r="EP80" i="1"/>
  <c r="EP72" i="1"/>
  <c r="EP71" i="1"/>
  <c r="EY96" i="1"/>
  <c r="EY94" i="1"/>
  <c r="EY93" i="1"/>
  <c r="EY102" i="1"/>
  <c r="EY100" i="1"/>
  <c r="EY92" i="1"/>
  <c r="EY99" i="1"/>
  <c r="EY91" i="1"/>
  <c r="EY101" i="1"/>
  <c r="EY90" i="1"/>
  <c r="EY98" i="1"/>
  <c r="EY95" i="1"/>
  <c r="EY97" i="1"/>
  <c r="EY89" i="1"/>
  <c r="EY88" i="1"/>
  <c r="EE7" i="1"/>
  <c r="DS71" i="1" a="1"/>
  <c r="DS71" i="1" s="1"/>
  <c r="DS55" i="1" a="1"/>
  <c r="DS55" i="1" s="1"/>
  <c r="DS39" i="1" a="1"/>
  <c r="DS39" i="1" s="1"/>
  <c r="DS23" i="1" a="1"/>
  <c r="DS23" i="1" s="1"/>
  <c r="DS7" i="1" a="1"/>
  <c r="DS7" i="1" s="1"/>
  <c r="FJ34" i="1" a="1"/>
  <c r="FC47" i="1" a="1"/>
  <c r="FX13" i="1" a="1"/>
  <c r="FX33" i="1" a="1"/>
  <c r="EV33" i="1" a="1"/>
  <c r="FQ18" i="1" a="1"/>
  <c r="FQ12" i="1" a="1"/>
  <c r="FJ81" i="1" a="1"/>
  <c r="FQ23" i="1" a="1"/>
  <c r="GG96" i="1" a="1"/>
  <c r="FZ97" i="1" a="1"/>
  <c r="FL100" i="1" a="1"/>
  <c r="FJ20" i="1" a="1"/>
  <c r="FQ24" i="1" a="1"/>
  <c r="FX50" i="1" a="1"/>
  <c r="FJ18" i="1" a="1"/>
  <c r="FX42" i="1" a="1"/>
  <c r="FX67" i="1" a="1"/>
  <c r="FX8" i="1" a="1"/>
  <c r="FX80" i="1" a="1"/>
  <c r="FJ68" i="1" a="1"/>
  <c r="FJ30" i="1" a="1"/>
  <c r="FX65" i="1" a="1"/>
  <c r="FS91" i="1" a="1"/>
  <c r="FE97" i="1" a="1"/>
  <c r="FS99" i="1" a="1"/>
  <c r="FZ92" i="1" a="1"/>
  <c r="FJ49" i="1" a="1"/>
  <c r="EV81" i="1" a="1"/>
  <c r="FX40" i="1" a="1"/>
  <c r="FC69" i="1" a="1"/>
  <c r="FX43" i="1" a="1"/>
  <c r="FJ78" i="1" a="1"/>
  <c r="GG97" i="1" a="1"/>
  <c r="FZ96" i="1" a="1"/>
  <c r="FX16" i="1" a="1"/>
  <c r="GG91" i="1" a="1"/>
  <c r="FJ82" i="1" a="1"/>
  <c r="EV85" i="1" a="1"/>
  <c r="EV32" i="1" a="1"/>
  <c r="FL93" i="1" a="1"/>
  <c r="FJ59" i="1" a="1"/>
  <c r="FJ53" i="1" a="1"/>
  <c r="FC37" i="1" a="1"/>
  <c r="FX59" i="1" a="1"/>
  <c r="FX15" i="1" a="1"/>
  <c r="FQ30" i="1" a="1"/>
  <c r="FC60" i="1" a="1"/>
  <c r="FX36" i="1" a="1"/>
  <c r="FX34" i="1" a="1"/>
  <c r="FE96" i="1" a="1"/>
  <c r="FC41" i="1" a="1"/>
  <c r="EV14" i="1" a="1"/>
  <c r="FE89" i="1" a="1"/>
  <c r="FQ67" i="1" a="1"/>
  <c r="EV63" i="1" a="1"/>
  <c r="FQ19" i="1" a="1"/>
  <c r="FQ59" i="1" a="1"/>
  <c r="FC43" i="1" a="1"/>
  <c r="FJ63" i="1" a="1"/>
  <c r="FX44" i="1" a="1"/>
  <c r="FC45" i="1" a="1"/>
  <c r="FC66" i="1" a="1"/>
  <c r="FQ64" i="1" a="1"/>
  <c r="FC61" i="1" a="1"/>
  <c r="FZ99" i="1" a="1"/>
  <c r="FJ83" i="1" a="1"/>
  <c r="FQ66" i="1" a="1"/>
  <c r="FC12" i="1" a="1"/>
  <c r="FX18" i="1" a="1"/>
  <c r="FL96" i="1" a="1"/>
  <c r="FJ80" i="1" a="1"/>
  <c r="FQ14" i="1" a="1"/>
  <c r="FJ13" i="1" a="1"/>
  <c r="EV69" i="1" a="1"/>
  <c r="EV42" i="1" a="1"/>
  <c r="FX47" i="1" a="1"/>
  <c r="FX58" i="1" a="1"/>
  <c r="FC14" i="1" a="1"/>
  <c r="FX27" i="1" a="1"/>
  <c r="FC56" i="1" a="1"/>
  <c r="FS97" i="1" a="1"/>
  <c r="FX69" i="1" a="1"/>
  <c r="FJ26" i="1" a="1"/>
  <c r="FQ72" i="1" a="1"/>
  <c r="FC30" i="1" a="1"/>
  <c r="FX49" i="1" a="1"/>
  <c r="FS98" i="1" a="1"/>
  <c r="FL94" i="1" a="1"/>
  <c r="EV80" i="1" a="1"/>
  <c r="FJ37" i="1" a="1"/>
  <c r="FZ98" i="1" a="1"/>
  <c r="FQ8" i="1" a="1"/>
  <c r="EV77" i="1" a="1"/>
  <c r="FJ46" i="1" a="1"/>
  <c r="FQ52" i="1" a="1"/>
  <c r="FC71" i="1" a="1"/>
  <c r="EV75" i="1" a="1"/>
  <c r="FX66" i="1" a="1"/>
  <c r="EV67" i="1" a="1"/>
  <c r="FZ100" i="1" a="1"/>
  <c r="FX48" i="1" a="1"/>
  <c r="EV45" i="1" a="1"/>
  <c r="FJ52" i="1" a="1"/>
  <c r="FJ8" i="1" a="1"/>
  <c r="FQ84" i="1" a="1"/>
  <c r="FZ91" i="1" a="1"/>
  <c r="FC58" i="1" a="1"/>
  <c r="FJ27" i="1" a="1"/>
  <c r="FZ93" i="1" a="1"/>
  <c r="FZ101" i="1" a="1"/>
  <c r="FC53" i="1" a="1"/>
  <c r="FC25" i="1" a="1"/>
  <c r="EV51" i="1" a="1"/>
  <c r="FE98" i="1" a="1"/>
  <c r="FJ60" i="1" a="1"/>
  <c r="GG93" i="1" a="1"/>
  <c r="FX51" i="1" a="1"/>
  <c r="FX63" i="1" a="1"/>
  <c r="FQ42" i="1" a="1"/>
  <c r="FJ12" i="1" a="1"/>
  <c r="FX23" i="1" a="1"/>
  <c r="FC33" i="1" a="1"/>
  <c r="FX79" i="1" a="1"/>
  <c r="FX12" i="1" a="1"/>
  <c r="FJ15" i="1" a="1"/>
  <c r="FX53" i="1" a="1"/>
  <c r="FJ47" i="1" a="1"/>
  <c r="FQ62" i="1" a="1"/>
  <c r="FC51" i="1" a="1"/>
  <c r="FL89" i="1" a="1"/>
  <c r="FC16" i="1" a="1"/>
  <c r="FJ43" i="1" a="1"/>
  <c r="EV12" i="1" a="1"/>
  <c r="FJ39" i="1" a="1"/>
  <c r="EV49" i="1" a="1"/>
  <c r="FX30" i="1" a="1"/>
  <c r="EV24" i="1" a="1"/>
  <c r="FX77" i="1" a="1"/>
  <c r="FX19" i="1" a="1"/>
  <c r="FJ72" i="1" a="1"/>
  <c r="EV59" i="1" a="1"/>
  <c r="FX39" i="1" a="1"/>
  <c r="EV68" i="1" a="1"/>
  <c r="FC83" i="1" a="1"/>
  <c r="FX41" i="1" a="1"/>
  <c r="FC31" i="1" a="1"/>
  <c r="FE90" i="1" a="1"/>
  <c r="FQ13" i="1" a="1"/>
  <c r="EV53" i="1" a="1"/>
  <c r="FX25" i="1" a="1"/>
  <c r="FZ89" i="1" a="1"/>
  <c r="FS94" i="1" a="1"/>
  <c r="FQ41" i="1" a="1"/>
  <c r="FJ73" i="1" a="1"/>
  <c r="FX73" i="1" a="1"/>
  <c r="FJ16" i="1" a="1"/>
  <c r="FQ7" i="1" a="1"/>
  <c r="FZ94" i="1" a="1"/>
  <c r="GG98" i="1" a="1"/>
  <c r="FS102" i="1" a="1"/>
  <c r="FE92" i="1" a="1"/>
  <c r="GG88" i="1" a="1"/>
  <c r="FE102" i="1" a="1"/>
  <c r="FX62" i="1" a="1"/>
  <c r="FC27" i="1" a="1"/>
  <c r="DX7" i="1" a="1"/>
  <c r="FQ27" i="1" a="1"/>
  <c r="FX21" i="1" a="1"/>
  <c r="FC63" i="1" a="1"/>
  <c r="FC36" i="1" a="1"/>
  <c r="FC57" i="1" a="1"/>
  <c r="FJ79" i="1" a="1"/>
  <c r="FX61" i="1" a="1"/>
  <c r="FJ25" i="1" a="1"/>
  <c r="EV26" i="1" a="1"/>
  <c r="FJ42" i="1" a="1"/>
  <c r="EV60" i="1" a="1"/>
  <c r="GG101" i="1" a="1"/>
  <c r="FC59" i="1" a="1"/>
  <c r="FS90" i="1" a="1"/>
  <c r="FQ71" i="1" a="1"/>
  <c r="FS93" i="1" a="1"/>
  <c r="FJ40" i="1" a="1"/>
  <c r="FQ32" i="1" a="1"/>
  <c r="FQ73" i="1" a="1"/>
  <c r="EV30" i="1" a="1"/>
  <c r="FC84" i="1" a="1"/>
  <c r="GG89" i="1" a="1"/>
  <c r="FS100" i="1" a="1"/>
  <c r="FL88" i="1" a="1"/>
  <c r="FX64" i="1" a="1"/>
  <c r="FS89" i="1" a="1"/>
  <c r="EV40" i="1" a="1"/>
  <c r="FX74" i="1" a="1"/>
  <c r="FQ36" i="1" a="1"/>
  <c r="FJ64" i="1" a="1"/>
  <c r="FL92" i="1" a="1"/>
  <c r="FX24" i="1" a="1"/>
  <c r="FE88" i="1" a="1"/>
  <c r="FX29" i="1" a="1"/>
  <c r="FQ44" i="1" a="1"/>
  <c r="FZ90" i="1" a="1"/>
  <c r="FC72" i="1" a="1"/>
  <c r="FE93" i="1" a="1"/>
  <c r="GG94" i="1" a="1"/>
  <c r="GG100" i="1" a="1"/>
  <c r="FJ61" i="1" a="1"/>
  <c r="FL98" i="1" a="1"/>
  <c r="FC34" i="1" a="1"/>
  <c r="FJ21" i="1" a="1"/>
  <c r="FQ61" i="1" a="1"/>
  <c r="FQ53" i="1" a="1"/>
  <c r="FE91" i="1" a="1"/>
  <c r="EV29" i="1" a="1"/>
  <c r="FC35" i="1" a="1"/>
  <c r="FS92" i="1" a="1"/>
  <c r="FC42" i="1" a="1"/>
  <c r="FE95" i="1" a="1"/>
  <c r="EV47" i="1" a="1"/>
  <c r="FJ19" i="1" a="1"/>
  <c r="FQ69" i="1" a="1"/>
  <c r="FQ50" i="1" a="1"/>
  <c r="EV18" i="1" a="1"/>
  <c r="FZ95" i="1" a="1"/>
  <c r="FQ49" i="1" a="1"/>
  <c r="FQ46" i="1" a="1"/>
  <c r="FC40" i="1" a="1"/>
  <c r="FX46" i="1" a="1"/>
  <c r="FC80" i="1" a="1"/>
  <c r="EV9" i="1" a="1"/>
  <c r="FC26" i="1" a="1"/>
  <c r="FQ81" i="1" a="1"/>
  <c r="FJ31" i="1" a="1"/>
  <c r="FC81" i="1" a="1"/>
  <c r="FL99" i="1" a="1"/>
  <c r="FQ31" i="1" a="1"/>
  <c r="EV20" i="1" a="1"/>
  <c r="FQ34" i="1" a="1"/>
  <c r="EV50" i="1" a="1"/>
  <c r="FX78" i="1" a="1"/>
  <c r="FC23" i="1" a="1"/>
  <c r="FQ82" i="1" a="1"/>
  <c r="FE94" i="1" a="1"/>
  <c r="FQ79" i="1" a="1"/>
  <c r="FX52" i="1" a="1"/>
  <c r="FC21" i="1" a="1"/>
  <c r="EV72" i="1" a="1"/>
  <c r="FQ45" i="1" a="1"/>
  <c r="GG90" i="1" a="1"/>
  <c r="FQ80" i="1" a="1"/>
  <c r="FX37" i="1" a="1"/>
  <c r="FQ15" i="1" a="1"/>
  <c r="FQ10" i="1" a="1"/>
  <c r="FQ29" i="1" a="1"/>
  <c r="FJ73" i="1" l="1"/>
  <c r="FC25" i="1"/>
  <c r="EV9" i="1"/>
  <c r="FQ61" i="1"/>
  <c r="FQ71" i="1"/>
  <c r="EV77" i="1"/>
  <c r="FJ13" i="1"/>
  <c r="FJ39" i="1"/>
  <c r="FQ23" i="1"/>
  <c r="FJ61" i="1"/>
  <c r="FQ82" i="1"/>
  <c r="EV18" i="1"/>
  <c r="GG88" i="1"/>
  <c r="FQ15" i="1"/>
  <c r="FJ34" i="1"/>
  <c r="FQ7" i="1"/>
  <c r="FC33" i="1"/>
  <c r="FC51" i="1"/>
  <c r="FC26" i="1"/>
  <c r="FX49" i="1"/>
  <c r="FX13" i="1"/>
  <c r="FX23" i="1"/>
  <c r="FX39" i="1"/>
  <c r="FQ42" i="1"/>
  <c r="FJ31" i="1"/>
  <c r="FJ83" i="1"/>
  <c r="FX47" i="1"/>
  <c r="FC35" i="1"/>
  <c r="FC56" i="1"/>
  <c r="FC59" i="1"/>
  <c r="FC23" i="1"/>
  <c r="EV14" i="1"/>
  <c r="FX77" i="1"/>
  <c r="EV68" i="1"/>
  <c r="FX21" i="1"/>
  <c r="EV12" i="1"/>
  <c r="FQ52" i="1"/>
  <c r="FC71" i="1"/>
  <c r="FQ19" i="1"/>
  <c r="FJ68" i="1"/>
  <c r="EV20" i="1"/>
  <c r="FX50" i="1"/>
  <c r="FC34" i="1"/>
  <c r="FQ50" i="1"/>
  <c r="FJ37" i="1"/>
  <c r="FQ64" i="1"/>
  <c r="FX67" i="1"/>
  <c r="FQ31" i="1"/>
  <c r="FJ21" i="1"/>
  <c r="FJ20" i="1"/>
  <c r="FQ10" i="1"/>
  <c r="FX29" i="1"/>
  <c r="FC27" i="1"/>
  <c r="FC53" i="1"/>
  <c r="FC42" i="1"/>
  <c r="FX62" i="1"/>
  <c r="FQ13" i="1"/>
  <c r="FX73" i="1"/>
  <c r="FZ91" i="1"/>
  <c r="FX43" i="1"/>
  <c r="FQ8" i="1"/>
  <c r="FC58" i="1"/>
  <c r="FL93" i="1"/>
  <c r="FJ72" i="1"/>
  <c r="GG93" i="1"/>
  <c r="GG96" i="1"/>
  <c r="FZ89" i="1"/>
  <c r="FE98" i="1"/>
  <c r="FE93" i="1"/>
  <c r="FS94" i="1"/>
  <c r="FC80" i="1"/>
  <c r="FE97" i="1"/>
  <c r="FX80" i="1"/>
  <c r="FX78" i="1"/>
  <c r="FX24" i="1"/>
  <c r="FX59" i="1"/>
  <c r="GG90" i="1"/>
  <c r="EV59" i="1"/>
  <c r="EV30" i="1"/>
  <c r="FQ41" i="1"/>
  <c r="FJ79" i="1"/>
  <c r="FJ64" i="1"/>
  <c r="EV60" i="1"/>
  <c r="EV45" i="1"/>
  <c r="FX41" i="1"/>
  <c r="FJ12" i="1"/>
  <c r="FJ16" i="1"/>
  <c r="FZ94" i="1"/>
  <c r="EV75" i="1"/>
  <c r="FE95" i="1"/>
  <c r="FQ79" i="1"/>
  <c r="FE92" i="1"/>
  <c r="FJ60" i="1"/>
  <c r="EV63" i="1"/>
  <c r="FZ90" i="1"/>
  <c r="FJ49" i="1"/>
  <c r="FS89" i="1"/>
  <c r="EV81" i="1"/>
  <c r="FX33" i="1"/>
  <c r="FJ43" i="1"/>
  <c r="FE91" i="1"/>
  <c r="FJ26" i="1"/>
  <c r="FC57" i="1"/>
  <c r="FX25" i="1"/>
  <c r="FL89" i="1"/>
  <c r="FQ30" i="1"/>
  <c r="FC81" i="1"/>
  <c r="FL94" i="1"/>
  <c r="FX30" i="1"/>
  <c r="FX15" i="1"/>
  <c r="EV29" i="1"/>
  <c r="FQ14" i="1"/>
  <c r="FJ59" i="1"/>
  <c r="FC14" i="1"/>
  <c r="FX8" i="1"/>
  <c r="GG94" i="1"/>
  <c r="FS97" i="1"/>
  <c r="FX58" i="1"/>
  <c r="EV53" i="1"/>
  <c r="EV69" i="1"/>
  <c r="FE88" i="1"/>
  <c r="FL88" i="1"/>
  <c r="FZ96" i="1"/>
  <c r="EV80" i="1"/>
  <c r="FX12" i="1"/>
  <c r="FJ27" i="1"/>
  <c r="FJ78" i="1"/>
  <c r="FQ81" i="1"/>
  <c r="FX36" i="1"/>
  <c r="GG91" i="1"/>
  <c r="FQ24" i="1"/>
  <c r="EV47" i="1"/>
  <c r="EV32" i="1"/>
  <c r="FQ62" i="1"/>
  <c r="FZ95" i="1"/>
  <c r="FX63" i="1"/>
  <c r="FX34" i="1"/>
  <c r="FZ92" i="1"/>
  <c r="FX53" i="1"/>
  <c r="FS98" i="1"/>
  <c r="FQ34" i="1"/>
  <c r="FE102" i="1"/>
  <c r="FZ100" i="1"/>
  <c r="EV24" i="1"/>
  <c r="FE94" i="1"/>
  <c r="FJ63" i="1"/>
  <c r="FX74" i="1"/>
  <c r="FX66" i="1"/>
  <c r="FC66" i="1"/>
  <c r="FQ84" i="1"/>
  <c r="FQ44" i="1"/>
  <c r="FJ52" i="1"/>
  <c r="FX44" i="1"/>
  <c r="FL98" i="1"/>
  <c r="FX37" i="1"/>
  <c r="FJ8" i="1"/>
  <c r="FX79" i="1"/>
  <c r="FJ81" i="1"/>
  <c r="EV42" i="1"/>
  <c r="FX16" i="1"/>
  <c r="FQ12" i="1"/>
  <c r="FZ98" i="1"/>
  <c r="GG98" i="1"/>
  <c r="FC69" i="1"/>
  <c r="FQ69" i="1"/>
  <c r="FE90" i="1"/>
  <c r="FZ99" i="1"/>
  <c r="FQ46" i="1"/>
  <c r="FC84" i="1"/>
  <c r="FQ45" i="1"/>
  <c r="FX69" i="1"/>
  <c r="GG100" i="1"/>
  <c r="FJ82" i="1"/>
  <c r="FJ47" i="1"/>
  <c r="FC45" i="1"/>
  <c r="FS93" i="1"/>
  <c r="FE89" i="1"/>
  <c r="FS102" i="1"/>
  <c r="FC60" i="1"/>
  <c r="FX18" i="1"/>
  <c r="FX51" i="1"/>
  <c r="EV51" i="1"/>
  <c r="FC21" i="1"/>
  <c r="FS90" i="1"/>
  <c r="FS100" i="1"/>
  <c r="FQ80" i="1"/>
  <c r="FC47" i="1"/>
  <c r="FQ67" i="1"/>
  <c r="GG101" i="1"/>
  <c r="FZ97" i="1"/>
  <c r="FC41" i="1"/>
  <c r="FC43" i="1"/>
  <c r="FX61" i="1"/>
  <c r="FQ32" i="1"/>
  <c r="FZ101" i="1"/>
  <c r="FC61" i="1"/>
  <c r="FQ27" i="1"/>
  <c r="FS92" i="1"/>
  <c r="FJ80" i="1"/>
  <c r="FC63" i="1"/>
  <c r="FQ29" i="1"/>
  <c r="EV33" i="1"/>
  <c r="FQ49" i="1"/>
  <c r="FC83" i="1"/>
  <c r="FE96" i="1"/>
  <c r="FJ42" i="1"/>
  <c r="FJ15" i="1"/>
  <c r="EV49" i="1"/>
  <c r="FC40" i="1"/>
  <c r="FX27" i="1"/>
  <c r="FC36" i="1"/>
  <c r="FQ72" i="1"/>
  <c r="FL100" i="1"/>
  <c r="FS99" i="1"/>
  <c r="FJ53" i="1"/>
  <c r="GG97" i="1"/>
  <c r="FC31" i="1"/>
  <c r="FX64" i="1"/>
  <c r="FQ53" i="1"/>
  <c r="FL99" i="1"/>
  <c r="FQ59" i="1"/>
  <c r="FC12" i="1"/>
  <c r="FX52" i="1"/>
  <c r="FC30" i="1"/>
  <c r="FJ25" i="1"/>
  <c r="FC16" i="1"/>
  <c r="FL96" i="1"/>
  <c r="FQ36" i="1"/>
  <c r="FX19" i="1"/>
  <c r="FC72" i="1"/>
  <c r="GG89" i="1"/>
  <c r="FX46" i="1"/>
  <c r="EV26" i="1"/>
  <c r="EV85" i="1"/>
  <c r="EV72" i="1"/>
  <c r="FJ19" i="1"/>
  <c r="FJ46" i="1"/>
  <c r="FQ66" i="1"/>
  <c r="FQ73" i="1"/>
  <c r="FX40" i="1"/>
  <c r="EV50" i="1"/>
  <c r="FL92" i="1"/>
  <c r="FC37" i="1"/>
  <c r="EV40" i="1"/>
  <c r="FX48" i="1"/>
  <c r="FJ40" i="1"/>
  <c r="FX65" i="1"/>
  <c r="FS91" i="1"/>
  <c r="EV67" i="1"/>
  <c r="FJ30" i="1"/>
  <c r="FJ18" i="1"/>
  <c r="FQ18" i="1"/>
  <c r="FX42" i="1"/>
  <c r="FZ93" i="1"/>
  <c r="DX7" i="1"/>
  <c r="EE84" i="1"/>
  <c r="EE80" i="1"/>
  <c r="EE76" i="1"/>
  <c r="EE72" i="1"/>
  <c r="EE67" i="1"/>
  <c r="EE63" i="1"/>
  <c r="EE59" i="1"/>
  <c r="EE55" i="1"/>
  <c r="EE50" i="1"/>
  <c r="EE46" i="1"/>
  <c r="EE42" i="1"/>
  <c r="EE37" i="1"/>
  <c r="EE33" i="1"/>
  <c r="EE29" i="1"/>
  <c r="EE25" i="1"/>
  <c r="EE20" i="1"/>
  <c r="EE16" i="1"/>
  <c r="EE12" i="1"/>
  <c r="EE8" i="1"/>
  <c r="EE83" i="1"/>
  <c r="EE79" i="1"/>
  <c r="EE75" i="1"/>
  <c r="EE71" i="1"/>
  <c r="EE66" i="1"/>
  <c r="EE62" i="1"/>
  <c r="EE58" i="1"/>
  <c r="EE53" i="1"/>
  <c r="EE49" i="1"/>
  <c r="EE45" i="1"/>
  <c r="EE41" i="1"/>
  <c r="EE36" i="1"/>
  <c r="EE32" i="1"/>
  <c r="EE28" i="1"/>
  <c r="EE24" i="1"/>
  <c r="EE19" i="1"/>
  <c r="EE15" i="1"/>
  <c r="EE11" i="1"/>
  <c r="EE82" i="1"/>
  <c r="EE78" i="1"/>
  <c r="EE74" i="1"/>
  <c r="EE69" i="1"/>
  <c r="EE65" i="1"/>
  <c r="EE61" i="1"/>
  <c r="EE57" i="1"/>
  <c r="EE52" i="1"/>
  <c r="EE48" i="1"/>
  <c r="EE44" i="1"/>
  <c r="EE40" i="1"/>
  <c r="EE35" i="1"/>
  <c r="EE31" i="1"/>
  <c r="EE27" i="1"/>
  <c r="EE23" i="1"/>
  <c r="EE18" i="1"/>
  <c r="EE14" i="1"/>
  <c r="EE10" i="1"/>
  <c r="EE85" i="1"/>
  <c r="EE81" i="1"/>
  <c r="EE77" i="1"/>
  <c r="EE73" i="1"/>
  <c r="EE68" i="1"/>
  <c r="EE64" i="1"/>
  <c r="EE60" i="1"/>
  <c r="EE56" i="1"/>
  <c r="EE51" i="1"/>
  <c r="EE47" i="1"/>
  <c r="EE43" i="1"/>
  <c r="EE39" i="1"/>
  <c r="EE34" i="1"/>
  <c r="EE30" i="1"/>
  <c r="EE26" i="1"/>
  <c r="EE21" i="1"/>
  <c r="EE17" i="1"/>
  <c r="EE13" i="1"/>
  <c r="EE9" i="1"/>
  <c r="DW89" i="1"/>
  <c r="DW90" i="1"/>
  <c r="DW91" i="1"/>
  <c r="DW92" i="1"/>
  <c r="DW93" i="1"/>
  <c r="DW94" i="1"/>
  <c r="DW95" i="1"/>
  <c r="DW96" i="1"/>
  <c r="DW97" i="1"/>
  <c r="DW98" i="1"/>
  <c r="DW99" i="1"/>
  <c r="DW100" i="1"/>
  <c r="DW101" i="1"/>
  <c r="DW102" i="1"/>
  <c r="DW88" i="1"/>
  <c r="EE88" i="1" a="1"/>
  <c r="EE88" i="1" s="1"/>
  <c r="ED88" i="1" a="1"/>
  <c r="ED88" i="1" s="1"/>
  <c r="EA88" i="1" a="1"/>
  <c r="EA88" i="1" s="1"/>
  <c r="EF88" i="1" a="1"/>
  <c r="DW71" i="1" a="1"/>
  <c r="DW71" i="1" s="1"/>
  <c r="DW55" i="1" a="1"/>
  <c r="DW55" i="1" s="1"/>
  <c r="DW39" i="1" a="1"/>
  <c r="DW39" i="1" s="1"/>
  <c r="DW23" i="1" a="1"/>
  <c r="DW23" i="1" s="1"/>
  <c r="DW7" i="1" a="1"/>
  <c r="EA71" i="1" a="1"/>
  <c r="EA71" i="1" s="1"/>
  <c r="EA55" i="1" a="1"/>
  <c r="EA55" i="1" s="1"/>
  <c r="EA39" i="1" a="1"/>
  <c r="EA39" i="1" s="1"/>
  <c r="EA23" i="1" a="1"/>
  <c r="EA23" i="1" s="1"/>
  <c r="EA7" i="1" a="1"/>
  <c r="EA7" i="1" s="1"/>
  <c r="DU71" i="1" a="1"/>
  <c r="DU71" i="1" s="1"/>
  <c r="DU55" i="1" a="1"/>
  <c r="DU55" i="1" s="1"/>
  <c r="DU39" i="1" a="1"/>
  <c r="DU39" i="1" s="1"/>
  <c r="DU23" i="1" a="1"/>
  <c r="DU23" i="1" s="1"/>
  <c r="DU7" i="1" a="1"/>
  <c r="DU7" i="1" s="1"/>
  <c r="DZ71" i="1" a="1"/>
  <c r="DZ71" i="1" s="1"/>
  <c r="DZ55" i="1" a="1"/>
  <c r="DZ55" i="1" s="1"/>
  <c r="DZ39" i="1" a="1"/>
  <c r="DZ39" i="1" s="1"/>
  <c r="DZ23" i="1" a="1"/>
  <c r="DZ23" i="1" s="1"/>
  <c r="DZ7" i="1" a="1"/>
  <c r="DZ7" i="1" s="1"/>
  <c r="DT72" i="1"/>
  <c r="DT73" i="1"/>
  <c r="DT74" i="1"/>
  <c r="DT75" i="1"/>
  <c r="DT76" i="1"/>
  <c r="DT77" i="1"/>
  <c r="DT78" i="1"/>
  <c r="DT79" i="1"/>
  <c r="DT80" i="1"/>
  <c r="DT81" i="1"/>
  <c r="DT82" i="1"/>
  <c r="DT83" i="1"/>
  <c r="DT84" i="1"/>
  <c r="DT85" i="1"/>
  <c r="DT71" i="1"/>
  <c r="DT56" i="1"/>
  <c r="DT57" i="1"/>
  <c r="DT58" i="1"/>
  <c r="DT59" i="1"/>
  <c r="DT60" i="1"/>
  <c r="DT61" i="1"/>
  <c r="DT62" i="1"/>
  <c r="DT63" i="1"/>
  <c r="DT64" i="1"/>
  <c r="DT65" i="1"/>
  <c r="DT66" i="1"/>
  <c r="DT67" i="1"/>
  <c r="DT68" i="1"/>
  <c r="DT69" i="1"/>
  <c r="DT55" i="1"/>
  <c r="DT40" i="1"/>
  <c r="DT41" i="1"/>
  <c r="DT42" i="1"/>
  <c r="DT43" i="1"/>
  <c r="DT44" i="1"/>
  <c r="DT45" i="1"/>
  <c r="DT46" i="1"/>
  <c r="DT47" i="1"/>
  <c r="DT48" i="1"/>
  <c r="DT49" i="1"/>
  <c r="DT50" i="1"/>
  <c r="DT51" i="1"/>
  <c r="DT52" i="1"/>
  <c r="DT53" i="1"/>
  <c r="DT39" i="1"/>
  <c r="DT24" i="1"/>
  <c r="DT25" i="1"/>
  <c r="DT26" i="1"/>
  <c r="DT27" i="1"/>
  <c r="DT28" i="1"/>
  <c r="DT29" i="1"/>
  <c r="DT30" i="1"/>
  <c r="DT31" i="1"/>
  <c r="DT32" i="1"/>
  <c r="DT33" i="1"/>
  <c r="DT34" i="1"/>
  <c r="DT35" i="1"/>
  <c r="DT36" i="1"/>
  <c r="DT37" i="1"/>
  <c r="DT23" i="1"/>
  <c r="DT8" i="1"/>
  <c r="DT9" i="1"/>
  <c r="DT10" i="1"/>
  <c r="DT11" i="1"/>
  <c r="DT12" i="1"/>
  <c r="DT13" i="1"/>
  <c r="DT14" i="1"/>
  <c r="DT15" i="1"/>
  <c r="DT16" i="1"/>
  <c r="DT17" i="1"/>
  <c r="DT18" i="1"/>
  <c r="DT19" i="1"/>
  <c r="DT20" i="1"/>
  <c r="DT21" i="1"/>
  <c r="DT7" i="1"/>
  <c r="DP70" i="1"/>
  <c r="DP54" i="1"/>
  <c r="DP38" i="1"/>
  <c r="DP22" i="1"/>
  <c r="DP6" i="1"/>
  <c r="EB98" i="1" a="1"/>
  <c r="EB97" i="1" a="1"/>
  <c r="EC98" i="1" a="1"/>
  <c r="EB99" i="1" a="1"/>
  <c r="EB94" i="1" a="1"/>
  <c r="EC99" i="1" a="1"/>
  <c r="EC94" i="1" a="1"/>
  <c r="DX91" i="1" a="1"/>
  <c r="EB101" i="1" a="1"/>
  <c r="EB88" i="1" a="1"/>
  <c r="EC91" i="1" a="1"/>
  <c r="EC93" i="1" a="1"/>
  <c r="EC96" i="1" a="1"/>
  <c r="EB91" i="1" a="1"/>
  <c r="EB102" i="1" a="1"/>
  <c r="EB100" i="1" a="1"/>
  <c r="DX97" i="1" a="1"/>
  <c r="DX96" i="1" a="1"/>
  <c r="DX102" i="1" a="1"/>
  <c r="EB92" i="1" a="1"/>
  <c r="EC100" i="1" a="1"/>
  <c r="DX89" i="1" a="1"/>
  <c r="DX98" i="1" a="1"/>
  <c r="EC95" i="1" a="1"/>
  <c r="DX92" i="1" a="1"/>
  <c r="EC97" i="1" a="1"/>
  <c r="EC88" i="1" a="1"/>
  <c r="DX101" i="1" a="1"/>
  <c r="DX100" i="1" a="1"/>
  <c r="DX95" i="1" a="1"/>
  <c r="DX90" i="1" a="1"/>
  <c r="EB89" i="1" a="1"/>
  <c r="EC89" i="1" a="1"/>
  <c r="EC101" i="1" a="1"/>
  <c r="EB93" i="1" a="1"/>
  <c r="EC90" i="1" a="1"/>
  <c r="EC92" i="1" a="1"/>
  <c r="DX99" i="1" a="1"/>
  <c r="DX88" i="1" a="1"/>
  <c r="DX93" i="1" a="1"/>
  <c r="DX94" i="1" a="1"/>
  <c r="EB95" i="1" a="1"/>
  <c r="EB96" i="1" a="1"/>
  <c r="EB90" i="1" a="1"/>
  <c r="EC102" i="1" a="1"/>
  <c r="DV72" i="1" a="1"/>
  <c r="DV74" i="1" a="1"/>
  <c r="DV76" i="1" a="1"/>
  <c r="DV77" i="1" a="1"/>
  <c r="DV82" i="1" a="1"/>
  <c r="DV71" i="1" a="1"/>
  <c r="DV79" i="1" a="1"/>
  <c r="DV75" i="1" a="1"/>
  <c r="DV73" i="1" a="1"/>
  <c r="DV83" i="1" a="1"/>
  <c r="DV84" i="1" a="1"/>
  <c r="DV85" i="1" a="1"/>
  <c r="DV80" i="1" a="1"/>
  <c r="DV81" i="1" a="1"/>
  <c r="DV78" i="1" a="1"/>
  <c r="DV41" i="1" a="1"/>
  <c r="DV52" i="1" a="1"/>
  <c r="DV46" i="1" a="1"/>
  <c r="DV43" i="1" a="1"/>
  <c r="DV51" i="1" a="1"/>
  <c r="DV49" i="1" a="1"/>
  <c r="DV42" i="1" a="1"/>
  <c r="DV53" i="1" a="1"/>
  <c r="DV50" i="1" a="1"/>
  <c r="DV48" i="1" a="1"/>
  <c r="DV40" i="1" a="1"/>
  <c r="DV44" i="1" a="1"/>
  <c r="DV47" i="1" a="1"/>
  <c r="DV39" i="1" a="1"/>
  <c r="DV45" i="1" a="1"/>
  <c r="DV55" i="1" a="1"/>
  <c r="DV61" i="1" a="1"/>
  <c r="DV67" i="1" a="1"/>
  <c r="DV56" i="1" a="1"/>
  <c r="DV59" i="1" a="1"/>
  <c r="DV65" i="1" a="1"/>
  <c r="DV63" i="1" a="1"/>
  <c r="DV60" i="1" a="1"/>
  <c r="DV58" i="1" a="1"/>
  <c r="DV62" i="1" a="1"/>
  <c r="DV68" i="1" a="1"/>
  <c r="DV66" i="1" a="1"/>
  <c r="DV57" i="1" a="1"/>
  <c r="DV64" i="1" a="1"/>
  <c r="DV69" i="1" a="1"/>
  <c r="DV26" i="1" a="1"/>
  <c r="DV25" i="1" a="1"/>
  <c r="DV23" i="1" a="1"/>
  <c r="DV37" i="1" a="1"/>
  <c r="DV28" i="1" a="1"/>
  <c r="DV35" i="1" a="1"/>
  <c r="DV29" i="1" a="1"/>
  <c r="DV32" i="1" a="1"/>
  <c r="DV27" i="1" a="1"/>
  <c r="DV30" i="1" a="1"/>
  <c r="DV33" i="1" a="1"/>
  <c r="DV34" i="1" a="1"/>
  <c r="DV24" i="1" a="1"/>
  <c r="DV31" i="1" a="1"/>
  <c r="DV36" i="1" a="1"/>
  <c r="DV20" i="1" a="1"/>
  <c r="DV19" i="1" a="1"/>
  <c r="DV18" i="1" a="1"/>
  <c r="DV17" i="1" a="1"/>
  <c r="DV14" i="1" a="1"/>
  <c r="DV9" i="1" a="1"/>
  <c r="DV15" i="1" a="1"/>
  <c r="DV11" i="1" a="1"/>
  <c r="DV16" i="1" a="1"/>
  <c r="DV13" i="1" a="1"/>
  <c r="DV21" i="1" a="1"/>
  <c r="DV12" i="1" a="1"/>
  <c r="DV8" i="1" a="1"/>
  <c r="DV10" i="1" a="1"/>
  <c r="EF88" i="1" l="1"/>
  <c r="DW7" i="1"/>
  <c r="DX96" i="1"/>
  <c r="DX95" i="1"/>
  <c r="DX94" i="1"/>
  <c r="DX102" i="1"/>
  <c r="DX93" i="1"/>
  <c r="DX100" i="1"/>
  <c r="DX92" i="1"/>
  <c r="DX101" i="1"/>
  <c r="DX99" i="1"/>
  <c r="DX91" i="1"/>
  <c r="DX98" i="1"/>
  <c r="DX90" i="1"/>
  <c r="DX97" i="1"/>
  <c r="DX89" i="1"/>
  <c r="DX88" i="1"/>
  <c r="EC89" i="1"/>
  <c r="DV15" i="1"/>
  <c r="DV43" i="1"/>
  <c r="DV79" i="1"/>
  <c r="DV26" i="1"/>
  <c r="EC101" i="1"/>
  <c r="DV10" i="1"/>
  <c r="DV50" i="1"/>
  <c r="DV73" i="1"/>
  <c r="DV21" i="1"/>
  <c r="DV47" i="1"/>
  <c r="DV81" i="1"/>
  <c r="DV18" i="1"/>
  <c r="DV41" i="1"/>
  <c r="DV68" i="1"/>
  <c r="DV17" i="1"/>
  <c r="EB88" i="1"/>
  <c r="EB94" i="1"/>
  <c r="EB102" i="1"/>
  <c r="DV58" i="1"/>
  <c r="DV19" i="1"/>
  <c r="DV63" i="1"/>
  <c r="DV82" i="1"/>
  <c r="DV34" i="1"/>
  <c r="DV66" i="1"/>
  <c r="EC98" i="1"/>
  <c r="DV33" i="1"/>
  <c r="DV57" i="1"/>
  <c r="EC95" i="1"/>
  <c r="DV30" i="1"/>
  <c r="DV80" i="1"/>
  <c r="EC97" i="1"/>
  <c r="DV25" i="1"/>
  <c r="DV45" i="1"/>
  <c r="DV65" i="1"/>
  <c r="DV72" i="1"/>
  <c r="DV16" i="1"/>
  <c r="DV31" i="1"/>
  <c r="DV49" i="1"/>
  <c r="DV64" i="1"/>
  <c r="DV85" i="1"/>
  <c r="DV32" i="1"/>
  <c r="DV48" i="1"/>
  <c r="DV56" i="1"/>
  <c r="EC88" i="1"/>
  <c r="DV24" i="1"/>
  <c r="DV40" i="1"/>
  <c r="DV71" i="1"/>
  <c r="EC96" i="1"/>
  <c r="DV8" i="1"/>
  <c r="DV37" i="1"/>
  <c r="DV55" i="1"/>
  <c r="DV77" i="1"/>
  <c r="EC93" i="1"/>
  <c r="EB93" i="1"/>
  <c r="EB101" i="1"/>
  <c r="EB100" i="1"/>
  <c r="EB92" i="1"/>
  <c r="EB95" i="1"/>
  <c r="EB91" i="1"/>
  <c r="DV35" i="1"/>
  <c r="EC90" i="1"/>
  <c r="DV42" i="1"/>
  <c r="DV9" i="1"/>
  <c r="DV39" i="1"/>
  <c r="DV69" i="1"/>
  <c r="DV78" i="1"/>
  <c r="EC102" i="1"/>
  <c r="DV13" i="1"/>
  <c r="DV23" i="1"/>
  <c r="DV46" i="1"/>
  <c r="DV60" i="1"/>
  <c r="DV84" i="1"/>
  <c r="EC94" i="1"/>
  <c r="DV14" i="1"/>
  <c r="DV29" i="1"/>
  <c r="DV44" i="1"/>
  <c r="DV62" i="1"/>
  <c r="DV76" i="1"/>
  <c r="EC100" i="1"/>
  <c r="DV12" i="1"/>
  <c r="DV36" i="1"/>
  <c r="DV52" i="1"/>
  <c r="DV61" i="1"/>
  <c r="DV75" i="1"/>
  <c r="EC92" i="1"/>
  <c r="DV20" i="1"/>
  <c r="DV28" i="1"/>
  <c r="DV51" i="1"/>
  <c r="DV67" i="1"/>
  <c r="DV83" i="1"/>
  <c r="EC91" i="1"/>
  <c r="DV11" i="1"/>
  <c r="DV27" i="1"/>
  <c r="DV53" i="1"/>
  <c r="DV59" i="1"/>
  <c r="DV74" i="1"/>
  <c r="EC99" i="1"/>
  <c r="EB96" i="1"/>
  <c r="EB99" i="1"/>
  <c r="EB90" i="1"/>
  <c r="EB98" i="1"/>
  <c r="EB97" i="1"/>
  <c r="EB89" i="1"/>
  <c r="DU88" i="1" a="1"/>
  <c r="DU88" i="1" s="1"/>
  <c r="DT88" i="1" a="1"/>
  <c r="DT88" i="1" s="1"/>
  <c r="DS88" i="1" a="1"/>
  <c r="DS88" i="1" s="1"/>
  <c r="EN63" i="1" a="1"/>
  <c r="EC27" i="1" a="1"/>
  <c r="EC39" i="1" a="1"/>
  <c r="EC26" i="1" a="1"/>
  <c r="EC30" i="1" a="1"/>
  <c r="EC21" i="1" a="1"/>
  <c r="EN33" i="1" a="1"/>
  <c r="EC32" i="1" a="1"/>
  <c r="EC61" i="1" a="1"/>
  <c r="EN32" i="1" a="1"/>
  <c r="EN9" i="1" a="1"/>
  <c r="EN79" i="1" a="1"/>
  <c r="EN10" i="1" a="1"/>
  <c r="EN7" i="1" a="1"/>
  <c r="EN30" i="1" a="1"/>
  <c r="EN31" i="1" a="1"/>
  <c r="EC58" i="1" a="1"/>
  <c r="EN64" i="1" a="1"/>
  <c r="EN57" i="1" a="1"/>
  <c r="EC65" i="1" a="1"/>
  <c r="EC25" i="1" a="1"/>
  <c r="EN53" i="1" a="1"/>
  <c r="EN55" i="1" a="1"/>
  <c r="EC42" i="1" a="1"/>
  <c r="EN72" i="1" a="1"/>
  <c r="EC60" i="1" a="1"/>
  <c r="EC82" i="1" a="1"/>
  <c r="EC29" i="1" a="1"/>
  <c r="EN35" i="1" a="1"/>
  <c r="EN20" i="1" a="1"/>
  <c r="EN58" i="1" a="1"/>
  <c r="EN67" i="1" a="1"/>
  <c r="EC36" i="1" a="1"/>
  <c r="EC31" i="1" a="1"/>
  <c r="EC49" i="1" a="1"/>
  <c r="EC8" i="1" a="1"/>
  <c r="EN62" i="1" a="1"/>
  <c r="EN56" i="1" a="1"/>
  <c r="EN78" i="1" a="1"/>
  <c r="EN45" i="1" a="1"/>
  <c r="EC72" i="1" a="1"/>
  <c r="EC9" i="1" a="1"/>
  <c r="EN11" i="1" a="1"/>
  <c r="EC56" i="1" a="1"/>
  <c r="EC35" i="1" a="1"/>
  <c r="EN25" i="1" a="1"/>
  <c r="EC69" i="1" a="1"/>
  <c r="EC78" i="1" a="1"/>
  <c r="EC17" i="1" a="1"/>
  <c r="EN36" i="1" a="1"/>
  <c r="EN19" i="1" a="1"/>
  <c r="EN51" i="1" a="1"/>
  <c r="EN81" i="1" a="1"/>
  <c r="EN39" i="1" a="1"/>
  <c r="EC81" i="1" a="1"/>
  <c r="EC33" i="1" a="1"/>
  <c r="EC74" i="1" a="1"/>
  <c r="EN40" i="1" a="1"/>
  <c r="EC48" i="1" a="1"/>
  <c r="EC51" i="1" a="1"/>
  <c r="EC14" i="1" a="1"/>
  <c r="EN59" i="1" a="1"/>
  <c r="EC12" i="1" a="1"/>
  <c r="EN17" i="1" a="1"/>
  <c r="EN48" i="1" a="1"/>
  <c r="EN34" i="1" a="1"/>
  <c r="EC62" i="1" a="1"/>
  <c r="EC20" i="1" a="1"/>
  <c r="EC75" i="1" a="1"/>
  <c r="EC77" i="1" a="1"/>
  <c r="EN74" i="1" a="1"/>
  <c r="EC73" i="1" a="1"/>
  <c r="EC79" i="1" a="1"/>
  <c r="EN43" i="1" a="1"/>
  <c r="EC59" i="1" a="1"/>
  <c r="EC28" i="1" a="1"/>
  <c r="EC37" i="1" a="1"/>
  <c r="EN16" i="1" a="1"/>
  <c r="EN24" i="1" a="1"/>
  <c r="EN12" i="1" a="1"/>
  <c r="EN61" i="1" a="1"/>
  <c r="EN84" i="1" a="1"/>
  <c r="EN60" i="1" a="1"/>
  <c r="EC19" i="1" a="1"/>
  <c r="EC50" i="1" a="1"/>
  <c r="EN66" i="1" a="1"/>
  <c r="EC15" i="1" a="1"/>
  <c r="EC71" i="1" a="1"/>
  <c r="EC84" i="1" a="1"/>
  <c r="EN52" i="1" a="1"/>
  <c r="EC7" i="1" a="1"/>
  <c r="EN14" i="1" a="1"/>
  <c r="EC76" i="1" a="1"/>
  <c r="EC16" i="1" a="1"/>
  <c r="EC67" i="1" a="1"/>
  <c r="EN49" i="1" a="1"/>
  <c r="EN44" i="1" a="1"/>
  <c r="EC23" i="1" a="1"/>
  <c r="EN76" i="1" a="1"/>
  <c r="EN28" i="1" a="1"/>
  <c r="EN23" i="1" a="1"/>
  <c r="EC63" i="1" a="1"/>
  <c r="EN37" i="1" a="1"/>
  <c r="EC44" i="1" a="1"/>
  <c r="EN8" i="1" a="1"/>
  <c r="EC66" i="1" a="1"/>
  <c r="EN75" i="1" a="1"/>
  <c r="EC10" i="1" a="1"/>
  <c r="EC53" i="1" a="1"/>
  <c r="EN46" i="1" a="1"/>
  <c r="EC46" i="1" a="1"/>
  <c r="EC34" i="1" a="1"/>
  <c r="EN69" i="1" a="1"/>
  <c r="EC11" i="1" a="1"/>
  <c r="EC41" i="1" a="1"/>
  <c r="EC18" i="1" a="1"/>
  <c r="EN82" i="1" a="1"/>
  <c r="EC40" i="1" a="1"/>
  <c r="EC85" i="1" a="1"/>
  <c r="EC13" i="1" a="1"/>
  <c r="EC83" i="1" a="1"/>
  <c r="EN13" i="1" a="1"/>
  <c r="EN73" i="1" a="1"/>
  <c r="EN42" i="1" a="1"/>
  <c r="EN83" i="1" a="1"/>
  <c r="EN21" i="1" a="1"/>
  <c r="EN65" i="1" a="1"/>
  <c r="EC24" i="1" a="1"/>
  <c r="EN27" i="1" a="1"/>
  <c r="EC57" i="1" a="1"/>
  <c r="EN15" i="1" a="1"/>
  <c r="EN41" i="1" a="1"/>
  <c r="EC52" i="1" a="1"/>
  <c r="EC43" i="1" a="1"/>
  <c r="EN50" i="1" a="1"/>
  <c r="EN26" i="1" a="1"/>
  <c r="EC55" i="1" a="1"/>
  <c r="EN29" i="1" a="1"/>
  <c r="EN68" i="1" a="1"/>
  <c r="EC47" i="1" a="1"/>
  <c r="EN85" i="1" a="1"/>
  <c r="EN18" i="1" a="1"/>
  <c r="EN80" i="1" a="1"/>
  <c r="EN71" i="1" a="1"/>
  <c r="EN47" i="1" a="1"/>
  <c r="EC68" i="1" a="1"/>
  <c r="EC45" i="1" a="1"/>
  <c r="EC80" i="1" a="1"/>
  <c r="EN77" i="1" a="1"/>
  <c r="EC64" i="1" a="1"/>
  <c r="FJ33" i="1" a="1"/>
  <c r="FC44" i="1" a="1"/>
  <c r="FJ65" i="1" a="1"/>
  <c r="FQ11" i="1" a="1"/>
  <c r="FJ84" i="1" a="1"/>
  <c r="DY75" i="1" a="1"/>
  <c r="DY78" i="1" a="1"/>
  <c r="DY51" i="1" a="1"/>
  <c r="DX47" i="1" a="1"/>
  <c r="DX59" i="1" a="1"/>
  <c r="DY61" i="1" a="1"/>
  <c r="DX36" i="1" a="1"/>
  <c r="DY30" i="1" a="1"/>
  <c r="FJ48" i="1" a="1"/>
  <c r="DV88" i="1" a="1"/>
  <c r="DY16" i="1" a="1"/>
  <c r="EB71" i="1" a="1"/>
  <c r="FC24" i="1" a="1"/>
  <c r="EB7" i="1" a="1"/>
  <c r="EX99" i="1" a="1"/>
  <c r="EB65" i="1" a="1"/>
  <c r="DV95" i="1" a="1"/>
  <c r="DX11" i="1" a="1"/>
  <c r="DX14" i="1" a="1"/>
  <c r="EI30" i="1" a="1"/>
  <c r="EI25" i="1" a="1"/>
  <c r="EB66" i="1" a="1"/>
  <c r="EB39" i="1" a="1"/>
  <c r="EI82" i="1" a="1"/>
  <c r="EI41" i="1" a="1"/>
  <c r="EI77" i="1" a="1"/>
  <c r="EB80" i="1" a="1"/>
  <c r="DX16" i="1" a="1"/>
  <c r="FQ40" i="1" a="1"/>
  <c r="FX71" i="1" a="1"/>
  <c r="DV96" i="1" a="1"/>
  <c r="EV62" i="1" a="1"/>
  <c r="EX95" i="1" a="1"/>
  <c r="EB8" i="1" a="1"/>
  <c r="FQ77" i="1" a="1"/>
  <c r="FQ60" i="1" a="1"/>
  <c r="FC65" i="1" a="1"/>
  <c r="FJ11" i="1" a="1"/>
  <c r="FQ68" i="1" a="1"/>
  <c r="DX45" i="1" a="1"/>
  <c r="DY82" i="1" a="1"/>
  <c r="DX40" i="1" a="1"/>
  <c r="DX52" i="1" a="1"/>
  <c r="DX67" i="1" a="1"/>
  <c r="DY66" i="1" a="1"/>
  <c r="DX35" i="1" a="1"/>
  <c r="DX24" i="1" a="1"/>
  <c r="EB45" i="1" a="1"/>
  <c r="EI48" i="1" a="1"/>
  <c r="FJ36" i="1" a="1"/>
  <c r="DX13" i="1" a="1"/>
  <c r="EB36" i="1" a="1"/>
  <c r="DY20" i="1" a="1"/>
  <c r="DY18" i="1" a="1"/>
  <c r="EI51" i="1" a="1"/>
  <c r="DY97" i="1" a="1"/>
  <c r="EI58" i="1" a="1"/>
  <c r="EB61" i="1" a="1"/>
  <c r="EB30" i="1" a="1"/>
  <c r="EI53" i="1" a="1"/>
  <c r="EX90" i="1" a="1"/>
  <c r="FJ23" i="1" a="1"/>
  <c r="EB14" i="1" a="1"/>
  <c r="EB46" i="1" a="1"/>
  <c r="EB26" i="1" a="1"/>
  <c r="EB9" i="1" a="1"/>
  <c r="EB59" i="1" a="1"/>
  <c r="EB49" i="1" a="1"/>
  <c r="EI35" i="1" a="1"/>
  <c r="DY17" i="1" a="1"/>
  <c r="DV91" i="1" a="1"/>
  <c r="EI74" i="1" a="1"/>
  <c r="DX9" i="1" a="1"/>
  <c r="EI68" i="1" a="1"/>
  <c r="DX56" i="1" a="1"/>
  <c r="FX45" i="1" a="1"/>
  <c r="EV76" i="1" a="1"/>
  <c r="EV25" i="1" a="1"/>
  <c r="FX76" i="1" a="1"/>
  <c r="FC15" i="1" a="1"/>
  <c r="DY73" i="1" a="1"/>
  <c r="DY74" i="1" a="1"/>
  <c r="DY83" i="1" a="1"/>
  <c r="DX46" i="1" a="1"/>
  <c r="DY65" i="1" a="1"/>
  <c r="DX68" i="1" a="1"/>
  <c r="DX23" i="1" a="1"/>
  <c r="DX26" i="1" a="1"/>
  <c r="EI45" i="1" a="1"/>
  <c r="DX17" i="1" a="1"/>
  <c r="EB74" i="1" a="1"/>
  <c r="DX20" i="1" a="1"/>
  <c r="EB53" i="1" a="1"/>
  <c r="EB19" i="1" a="1"/>
  <c r="DY94" i="1" a="1"/>
  <c r="EB75" i="1" a="1"/>
  <c r="DY14" i="1" a="1"/>
  <c r="EI72" i="1" a="1"/>
  <c r="EB79" i="1" a="1"/>
  <c r="DV92" i="1" a="1"/>
  <c r="EI27" i="1" a="1"/>
  <c r="EB81" i="1" a="1"/>
  <c r="EI16" i="1" a="1"/>
  <c r="EB31" i="1" a="1"/>
  <c r="EI34" i="1" a="1"/>
  <c r="DX8" i="1" a="1"/>
  <c r="EV74" i="1" a="1"/>
  <c r="FQ17" i="1" a="1"/>
  <c r="DX25" i="1" a="1"/>
  <c r="FJ77" i="1" a="1"/>
  <c r="FC8" i="1" a="1"/>
  <c r="FJ41" i="1" a="1"/>
  <c r="EV28" i="1" a="1"/>
  <c r="EV79" i="1" a="1"/>
  <c r="DX71" i="1" a="1"/>
  <c r="DY79" i="1" a="1"/>
  <c r="DY40" i="1" a="1"/>
  <c r="DY39" i="1" a="1"/>
  <c r="DX61" i="1" a="1"/>
  <c r="DX57" i="1" a="1"/>
  <c r="DY36" i="1" a="1"/>
  <c r="DY98" i="1" a="1"/>
  <c r="DY19" i="1" a="1"/>
  <c r="EI80" i="1" a="1"/>
  <c r="FJ75" i="1" a="1"/>
  <c r="EI11" i="1" a="1"/>
  <c r="EI36" i="1" a="1"/>
  <c r="EV17" i="1" a="1"/>
  <c r="EB63" i="1" a="1"/>
  <c r="EV23" i="1" a="1"/>
  <c r="DV90" i="1" a="1"/>
  <c r="FC7" i="1" a="1"/>
  <c r="EI44" i="1" a="1"/>
  <c r="EB69" i="1" a="1"/>
  <c r="EB76" i="1" a="1"/>
  <c r="EV15" i="1" a="1"/>
  <c r="FQ56" i="1" a="1"/>
  <c r="FQ57" i="1" a="1"/>
  <c r="FQ76" i="1" a="1"/>
  <c r="FC46" i="1" a="1"/>
  <c r="DY71" i="1" a="1"/>
  <c r="DY42" i="1" a="1"/>
  <c r="DX81" i="1" a="1"/>
  <c r="DY41" i="1" a="1"/>
  <c r="DX64" i="1" a="1"/>
  <c r="DY23" i="1" a="1"/>
  <c r="DX34" i="1" a="1"/>
  <c r="DY90" i="1" a="1"/>
  <c r="EI83" i="1" a="1"/>
  <c r="EI29" i="1" a="1"/>
  <c r="EI32" i="1" a="1"/>
  <c r="EB33" i="1" a="1"/>
  <c r="EB62" i="1" a="1"/>
  <c r="EB56" i="1" a="1"/>
  <c r="EV31" i="1" a="1"/>
  <c r="EB52" i="1" a="1"/>
  <c r="EV43" i="1" a="1"/>
  <c r="FX28" i="1" a="1"/>
  <c r="EI49" i="1" a="1"/>
  <c r="EI20" i="1" a="1"/>
  <c r="EB32" i="1" a="1"/>
  <c r="EB16" i="1" a="1"/>
  <c r="EI52" i="1" a="1"/>
  <c r="DY100" i="1" a="1"/>
  <c r="FC11" i="1" a="1"/>
  <c r="FC73" i="1" a="1"/>
  <c r="FQ58" i="1" a="1"/>
  <c r="FJ56" i="1" a="1"/>
  <c r="FJ35" i="1" a="1"/>
  <c r="FJ76" i="1" a="1"/>
  <c r="FJ62" i="1" a="1"/>
  <c r="DY45" i="1" a="1"/>
  <c r="DX76" i="1" a="1"/>
  <c r="DX39" i="1" a="1"/>
  <c r="DX75" i="1" a="1"/>
  <c r="DY64" i="1" a="1"/>
  <c r="DY37" i="1" a="1"/>
  <c r="DY31" i="1" a="1"/>
  <c r="FC75" i="1" a="1"/>
  <c r="DX19" i="1" a="1"/>
  <c r="EB43" i="1" a="1"/>
  <c r="FJ51" i="1" a="1"/>
  <c r="EB72" i="1" a="1"/>
  <c r="EV44" i="1" a="1"/>
  <c r="FQ35" i="1" a="1"/>
  <c r="EB11" i="1" a="1"/>
  <c r="EI24" i="1" a="1"/>
  <c r="EB42" i="1" a="1"/>
  <c r="EX101" i="1" a="1"/>
  <c r="EI12" i="1" a="1"/>
  <c r="EI55" i="1" a="1"/>
  <c r="EX96" i="1" a="1"/>
  <c r="EB21" i="1" a="1"/>
  <c r="FX20" i="1" a="1"/>
  <c r="DY9" i="1" a="1"/>
  <c r="FX26" i="1" a="1"/>
  <c r="FX72" i="1" a="1"/>
  <c r="FQ83" i="1" a="1"/>
  <c r="FC76" i="1" a="1"/>
  <c r="EV46" i="1" a="1"/>
  <c r="DY85" i="1" a="1"/>
  <c r="DY47" i="1" a="1"/>
  <c r="DX78" i="1" a="1"/>
  <c r="DY60" i="1" a="1"/>
  <c r="DX69" i="1" a="1"/>
  <c r="DY35" i="1" a="1"/>
  <c r="DX33" i="1" a="1"/>
  <c r="FQ55" i="1" a="1"/>
  <c r="DY13" i="1" a="1"/>
  <c r="FC82" i="1" a="1"/>
  <c r="EI63" i="1" a="1"/>
  <c r="EB85" i="1" a="1"/>
  <c r="EB48" i="1" a="1"/>
  <c r="FX35" i="1" a="1"/>
  <c r="DY12" i="1" a="1"/>
  <c r="EX89" i="1" a="1"/>
  <c r="EB83" i="1" a="1"/>
  <c r="EI64" i="1" a="1"/>
  <c r="EI8" i="1" a="1"/>
  <c r="EB64" i="1" a="1"/>
  <c r="EV57" i="1" a="1"/>
  <c r="EB10" i="1" a="1"/>
  <c r="DV98" i="1" a="1"/>
  <c r="EB37" i="1" a="1"/>
  <c r="EI28" i="1" a="1"/>
  <c r="EI69" i="1" a="1"/>
  <c r="EV13" i="1" a="1"/>
  <c r="DY95" i="1" a="1"/>
  <c r="FC68" i="1" a="1"/>
  <c r="FJ66" i="1" a="1"/>
  <c r="FX57" i="1" a="1"/>
  <c r="EI60" i="1" a="1"/>
  <c r="EI7" i="1" a="1"/>
  <c r="EI13" i="1" a="1"/>
  <c r="DY99" i="1" a="1"/>
  <c r="EB51" i="1" a="1"/>
  <c r="EX97" i="1" a="1"/>
  <c r="FQ9" i="1" a="1"/>
  <c r="DY7" i="1" a="1"/>
  <c r="EV58" i="1" a="1"/>
  <c r="EV8" i="1" a="1"/>
  <c r="FC67" i="1" a="1"/>
  <c r="FJ32" i="1" a="1"/>
  <c r="FJ50" i="1" a="1"/>
  <c r="DY77" i="1" a="1"/>
  <c r="DX77" i="1" a="1"/>
  <c r="DY48" i="1" a="1"/>
  <c r="DY58" i="1" a="1"/>
  <c r="DX60" i="1" a="1"/>
  <c r="DX27" i="1" a="1"/>
  <c r="DY88" i="1" a="1"/>
  <c r="FC64" i="1" a="1"/>
  <c r="DV100" i="1" a="1"/>
  <c r="EB35" i="1" a="1"/>
  <c r="EB40" i="1" a="1"/>
  <c r="EI81" i="1" a="1"/>
  <c r="EB73" i="1" a="1"/>
  <c r="EB24" i="1" a="1"/>
  <c r="EB34" i="1" a="1"/>
  <c r="EB67" i="1" a="1"/>
  <c r="EI10" i="1" a="1"/>
  <c r="EI62" i="1" a="1"/>
  <c r="EB77" i="1" a="1"/>
  <c r="EB41" i="1" a="1"/>
  <c r="DV94" i="1" a="1"/>
  <c r="EB13" i="1" a="1"/>
  <c r="EB23" i="1" a="1"/>
  <c r="EB17" i="1" a="1"/>
  <c r="FQ28" i="1" a="1"/>
  <c r="EI78" i="1" a="1"/>
  <c r="EB78" i="1" a="1"/>
  <c r="FC28" i="1" a="1"/>
  <c r="DX37" i="1" a="1"/>
  <c r="FJ58" i="1" a="1"/>
  <c r="EV83" i="1" a="1"/>
  <c r="FX83" i="1" a="1"/>
  <c r="EV48" i="1" a="1"/>
  <c r="EV82" i="1" a="1"/>
  <c r="DX84" i="1" a="1"/>
  <c r="DX79" i="1" a="1"/>
  <c r="DY50" i="1" a="1"/>
  <c r="DY55" i="1" a="1"/>
  <c r="DX65" i="1" a="1"/>
  <c r="DX29" i="1" a="1"/>
  <c r="DY27" i="1" a="1"/>
  <c r="EV52" i="1" a="1"/>
  <c r="EI76" i="1" a="1"/>
  <c r="EI57" i="1" a="1"/>
  <c r="EV64" i="1" a="1"/>
  <c r="FX56" i="1" a="1"/>
  <c r="EI37" i="1" a="1"/>
  <c r="EB57" i="1" a="1"/>
  <c r="EX98" i="1" a="1"/>
  <c r="FC9" i="1" a="1"/>
  <c r="EI15" i="1" a="1"/>
  <c r="EV7" i="1" a="1"/>
  <c r="EX93" i="1" a="1"/>
  <c r="FC74" i="1" a="1"/>
  <c r="EB60" i="1" a="1"/>
  <c r="FQ26" i="1" a="1"/>
  <c r="EI18" i="1" a="1"/>
  <c r="EI75" i="1" a="1"/>
  <c r="DX10" i="1" a="1"/>
  <c r="DV93" i="1" a="1"/>
  <c r="DY8" i="1" a="1"/>
  <c r="DV97" i="1" a="1"/>
  <c r="EB58" i="1" a="1"/>
  <c r="FQ25" i="1" a="1"/>
  <c r="EI61" i="1" a="1"/>
  <c r="EI47" i="1" a="1"/>
  <c r="EI17" i="1" a="1"/>
  <c r="DY49" i="1" a="1"/>
  <c r="EV78" i="1" a="1"/>
  <c r="EV55" i="1" a="1"/>
  <c r="FJ10" i="1" a="1"/>
  <c r="FC48" i="1" a="1"/>
  <c r="FC18" i="1" a="1"/>
  <c r="DX72" i="1" a="1"/>
  <c r="DY52" i="1" a="1"/>
  <c r="DX85" i="1" a="1"/>
  <c r="DY56" i="1" a="1"/>
  <c r="DY67" i="1" a="1"/>
  <c r="DY29" i="1" a="1"/>
  <c r="DY24" i="1" a="1"/>
  <c r="EI67" i="1" a="1"/>
  <c r="FJ57" i="1" a="1"/>
  <c r="EB28" i="1" a="1"/>
  <c r="EI65" i="1" a="1"/>
  <c r="EV56" i="1" a="1"/>
  <c r="EB20" i="1" a="1"/>
  <c r="EI73" i="1" a="1"/>
  <c r="DX21" i="1" a="1"/>
  <c r="EB47" i="1" a="1"/>
  <c r="EX100" i="1" a="1"/>
  <c r="EI79" i="1" a="1"/>
  <c r="FJ14" i="1" a="1"/>
  <c r="EX91" i="1" a="1"/>
  <c r="FQ20" i="1" a="1"/>
  <c r="EI71" i="1" a="1"/>
  <c r="EI85" i="1" a="1"/>
  <c r="EI21" i="1" a="1"/>
  <c r="DV99" i="1" a="1"/>
  <c r="DX18" i="1" a="1"/>
  <c r="EX88" i="1" a="1"/>
  <c r="DX15" i="1" a="1"/>
  <c r="DY92" i="1" a="1"/>
  <c r="FJ74" i="1" a="1"/>
  <c r="DY62" i="1" a="1"/>
  <c r="EI56" i="1" a="1"/>
  <c r="FC78" i="1" a="1"/>
  <c r="FQ39" i="1" a="1"/>
  <c r="EV10" i="1" a="1"/>
  <c r="EV61" i="1" a="1"/>
  <c r="DX83" i="1" a="1"/>
  <c r="DY81" i="1" a="1"/>
  <c r="DY53" i="1" a="1"/>
  <c r="DX51" i="1" a="1"/>
  <c r="DX55" i="1" a="1"/>
  <c r="DY59" i="1" a="1"/>
  <c r="DX28" i="1" a="1"/>
  <c r="DY25" i="1" a="1"/>
  <c r="EI40" i="1" a="1"/>
  <c r="EV37" i="1" a="1"/>
  <c r="DY96" i="1" a="1"/>
  <c r="DY11" i="1" a="1"/>
  <c r="EB84" i="1" a="1"/>
  <c r="EX102" i="1" a="1"/>
  <c r="FJ17" i="1" a="1"/>
  <c r="DV89" i="1" a="1"/>
  <c r="EV36" i="1" a="1"/>
  <c r="DY15" i="1" a="1"/>
  <c r="FQ78" i="1" a="1"/>
  <c r="FC39" i="1" a="1"/>
  <c r="FC10" i="1" a="1"/>
  <c r="FC77" i="1" a="1"/>
  <c r="DY80" i="1" a="1"/>
  <c r="DX44" i="1" a="1"/>
  <c r="DX53" i="1" a="1"/>
  <c r="DX42" i="1" a="1"/>
  <c r="DX66" i="1" a="1"/>
  <c r="DX58" i="1" a="1"/>
  <c r="DY33" i="1" a="1"/>
  <c r="DY32" i="1" a="1"/>
  <c r="FX7" i="1" a="1"/>
  <c r="DV102" i="1" a="1"/>
  <c r="DY89" i="1" a="1"/>
  <c r="EB25" i="1" a="1"/>
  <c r="DV101" i="1" a="1"/>
  <c r="DX12" i="1" a="1"/>
  <c r="DY91" i="1" a="1"/>
  <c r="DY102" i="1" a="1"/>
  <c r="DX43" i="1" a="1"/>
  <c r="FX55" i="1" a="1"/>
  <c r="FX14" i="1" a="1"/>
  <c r="FJ71" i="1" a="1"/>
  <c r="FQ74" i="1" a="1"/>
  <c r="FJ29" i="1" a="1"/>
  <c r="DX50" i="1" a="1"/>
  <c r="DY43" i="1" a="1"/>
  <c r="DY44" i="1" a="1"/>
  <c r="DX48" i="1" a="1"/>
  <c r="DY68" i="1" a="1"/>
  <c r="DX63" i="1" a="1"/>
  <c r="DY28" i="1" a="1"/>
  <c r="DX31" i="1" a="1"/>
  <c r="EI59" i="1" a="1"/>
  <c r="EI14" i="1" a="1"/>
  <c r="EI66" i="1" a="1"/>
  <c r="FQ75" i="1" a="1"/>
  <c r="EI84" i="1" a="1"/>
  <c r="FJ24" i="1" a="1"/>
  <c r="EB18" i="1" a="1"/>
  <c r="DY10" i="1" a="1"/>
  <c r="FX81" i="1" a="1"/>
  <c r="DY101" i="1" a="1"/>
  <c r="EI9" i="1" a="1"/>
  <c r="EV41" i="1" a="1"/>
  <c r="EB55" i="1" a="1"/>
  <c r="EB12" i="1" a="1"/>
  <c r="EI19" i="1" a="1"/>
  <c r="FC17" i="1" a="1"/>
  <c r="FC55" i="1" a="1"/>
  <c r="EI26" i="1" a="1"/>
  <c r="EI23" i="1" a="1"/>
  <c r="EV34" i="1" a="1"/>
  <c r="FJ55" i="1" a="1"/>
  <c r="FX32" i="1" a="1"/>
  <c r="FQ65" i="1" a="1"/>
  <c r="FX11" i="1" a="1"/>
  <c r="FC52" i="1" a="1"/>
  <c r="DX73" i="1" a="1"/>
  <c r="DX82" i="1" a="1"/>
  <c r="DX49" i="1" a="1"/>
  <c r="DX80" i="1" a="1"/>
  <c r="DX62" i="1" a="1"/>
  <c r="DY57" i="1" a="1"/>
  <c r="DX30" i="1" a="1"/>
  <c r="DY34" i="1" a="1"/>
  <c r="EB50" i="1" a="1"/>
  <c r="EB44" i="1" a="1"/>
  <c r="DY93" i="1" a="1"/>
  <c r="FC79" i="1" a="1"/>
  <c r="EI33" i="1" a="1"/>
  <c r="FJ45" i="1" a="1"/>
  <c r="EI50" i="1" a="1"/>
  <c r="EX92" i="1" a="1"/>
  <c r="EB68" i="1" a="1"/>
  <c r="DY72" i="1" a="1"/>
  <c r="EV73" i="1" a="1"/>
  <c r="EV16" i="1" a="1"/>
  <c r="FX17" i="1" a="1"/>
  <c r="EV27" i="1" a="1"/>
  <c r="FX68" i="1" a="1"/>
  <c r="DY46" i="1" a="1"/>
  <c r="DX74" i="1" a="1"/>
  <c r="DY76" i="1" a="1"/>
  <c r="DY84" i="1" a="1"/>
  <c r="DY63" i="1" a="1"/>
  <c r="DY69" i="1" a="1"/>
  <c r="DX32" i="1" a="1"/>
  <c r="DY26" i="1" a="1"/>
  <c r="EI46" i="1" a="1"/>
  <c r="FX75" i="1" a="1"/>
  <c r="EI31" i="1" a="1"/>
  <c r="EV35" i="1" a="1"/>
  <c r="EI43" i="1" a="1"/>
  <c r="EB27" i="1" a="1"/>
  <c r="EI39" i="1" a="1"/>
  <c r="DY21" i="1" a="1"/>
  <c r="FC19" i="1" a="1"/>
  <c r="EI42" i="1" a="1"/>
  <c r="FJ28" i="1" a="1"/>
  <c r="FC62" i="1" a="1"/>
  <c r="EB29" i="1" a="1"/>
  <c r="FX9" i="1" a="1"/>
  <c r="EB15" i="1" a="1"/>
  <c r="EB82" i="1" a="1"/>
  <c r="FC29" i="1" a="1"/>
  <c r="FQ33" i="1" a="1"/>
  <c r="FQ16" i="1" a="1"/>
  <c r="EV65" i="1" a="1"/>
  <c r="DX41" i="1" a="1"/>
  <c r="EX94" i="1" a="1"/>
  <c r="D98" i="1" a="1"/>
  <c r="B98" i="1" a="1"/>
  <c r="G98" i="1" a="1"/>
  <c r="EV8" i="1" l="1"/>
  <c r="FX72" i="1"/>
  <c r="FJ56" i="1"/>
  <c r="FQ56" i="1"/>
  <c r="FC8" i="1"/>
  <c r="EV76" i="1"/>
  <c r="FQ60" i="1"/>
  <c r="FC44" i="1"/>
  <c r="FQ16" i="1"/>
  <c r="EV16" i="1"/>
  <c r="FX32" i="1"/>
  <c r="FX14" i="1"/>
  <c r="FQ78" i="1"/>
  <c r="FC78" i="1"/>
  <c r="EV78" i="1"/>
  <c r="FJ58" i="1"/>
  <c r="EV58" i="1"/>
  <c r="FX26" i="1"/>
  <c r="FQ58" i="1"/>
  <c r="EV15" i="1"/>
  <c r="FJ77" i="1"/>
  <c r="FX45" i="1"/>
  <c r="FQ77" i="1"/>
  <c r="FJ33" i="1"/>
  <c r="FQ33" i="1"/>
  <c r="EV73" i="1"/>
  <c r="FJ55" i="1"/>
  <c r="FX55" i="1"/>
  <c r="EV83" i="1"/>
  <c r="FJ71" i="1"/>
  <c r="FC39" i="1"/>
  <c r="FQ39" i="1"/>
  <c r="EV55" i="1"/>
  <c r="FC18" i="1"/>
  <c r="EV82" i="1"/>
  <c r="FJ50" i="1"/>
  <c r="EV46" i="1"/>
  <c r="FJ62" i="1"/>
  <c r="FC46" i="1"/>
  <c r="EV79" i="1"/>
  <c r="FC15" i="1"/>
  <c r="FQ68" i="1"/>
  <c r="FJ84" i="1"/>
  <c r="EV36" i="1"/>
  <c r="FX68" i="1"/>
  <c r="FC52" i="1"/>
  <c r="FJ29" i="1"/>
  <c r="FC77" i="1"/>
  <c r="EV61" i="1"/>
  <c r="FC48" i="1"/>
  <c r="EV48" i="1"/>
  <c r="FJ32" i="1"/>
  <c r="FC76" i="1"/>
  <c r="FJ76" i="1"/>
  <c r="FQ76" i="1"/>
  <c r="EV28" i="1"/>
  <c r="FX76" i="1"/>
  <c r="FJ11" i="1"/>
  <c r="FQ11" i="1"/>
  <c r="FC11" i="1"/>
  <c r="EV27" i="1"/>
  <c r="FX11" i="1"/>
  <c r="FQ74" i="1"/>
  <c r="FC10" i="1"/>
  <c r="EV10" i="1"/>
  <c r="FJ10" i="1"/>
  <c r="FX83" i="1"/>
  <c r="FC67" i="1"/>
  <c r="FQ83" i="1"/>
  <c r="FJ35" i="1"/>
  <c r="FQ57" i="1"/>
  <c r="FJ41" i="1"/>
  <c r="EV25" i="1"/>
  <c r="FC65" i="1"/>
  <c r="FJ65" i="1"/>
  <c r="EV65" i="1"/>
  <c r="FX17" i="1"/>
  <c r="FQ65" i="1"/>
  <c r="DY88" i="1"/>
  <c r="DY92" i="1"/>
  <c r="EV92" i="1" s="1"/>
  <c r="DY99" i="1"/>
  <c r="EV99" i="1" s="1"/>
  <c r="DY95" i="1"/>
  <c r="EV95" i="1" s="1"/>
  <c r="DY102" i="1"/>
  <c r="EV102" i="1" s="1"/>
  <c r="DY101" i="1"/>
  <c r="EV101" i="1" s="1"/>
  <c r="DY91" i="1"/>
  <c r="EV91" i="1" s="1"/>
  <c r="DY94" i="1"/>
  <c r="EV94" i="1" s="1"/>
  <c r="DY97" i="1"/>
  <c r="EV97" i="1" s="1"/>
  <c r="DY89" i="1"/>
  <c r="EV89" i="1" s="1"/>
  <c r="DY96" i="1"/>
  <c r="EV96" i="1" s="1"/>
  <c r="DY93" i="1"/>
  <c r="EV93" i="1" s="1"/>
  <c r="DY90" i="1"/>
  <c r="EV90" i="1" s="1"/>
  <c r="DY98" i="1"/>
  <c r="EV98" i="1" s="1"/>
  <c r="DY100" i="1"/>
  <c r="EV100" i="1" s="1"/>
  <c r="FX20" i="1"/>
  <c r="FJ36" i="1"/>
  <c r="EV52" i="1"/>
  <c r="FQ20" i="1"/>
  <c r="FC68" i="1"/>
  <c r="EV34" i="1"/>
  <c r="FC82" i="1"/>
  <c r="FJ66" i="1"/>
  <c r="FX9" i="1"/>
  <c r="FQ9" i="1"/>
  <c r="EV41" i="1"/>
  <c r="FC73" i="1"/>
  <c r="FC19" i="1"/>
  <c r="FQ35" i="1"/>
  <c r="FX35" i="1"/>
  <c r="FJ51" i="1"/>
  <c r="EV35" i="1"/>
  <c r="FJ48" i="1"/>
  <c r="FC64" i="1"/>
  <c r="EV64" i="1"/>
  <c r="EV13" i="1"/>
  <c r="FC29" i="1"/>
  <c r="FJ45" i="1"/>
  <c r="FJ14" i="1"/>
  <c r="EV62" i="1"/>
  <c r="FC62" i="1"/>
  <c r="FQ28" i="1"/>
  <c r="FJ28" i="1"/>
  <c r="FC28" i="1"/>
  <c r="FX28" i="1"/>
  <c r="EV44" i="1"/>
  <c r="EV31" i="1"/>
  <c r="FC79" i="1"/>
  <c r="FC55" i="1"/>
  <c r="FQ55" i="1"/>
  <c r="EV7" i="1"/>
  <c r="FX71" i="1"/>
  <c r="FJ74" i="1"/>
  <c r="FC74" i="1"/>
  <c r="FQ26" i="1"/>
  <c r="EV74" i="1"/>
  <c r="FC17" i="1"/>
  <c r="FJ17" i="1"/>
  <c r="FQ17" i="1"/>
  <c r="FX81" i="1"/>
  <c r="EV17" i="1"/>
  <c r="EV43" i="1"/>
  <c r="FJ75" i="1"/>
  <c r="FQ75" i="1"/>
  <c r="FX75" i="1"/>
  <c r="FC75" i="1"/>
  <c r="FC24" i="1"/>
  <c r="FX56" i="1"/>
  <c r="FJ24" i="1"/>
  <c r="FQ40" i="1"/>
  <c r="EV56" i="1"/>
  <c r="FJ23" i="1"/>
  <c r="FQ25" i="1"/>
  <c r="FJ57" i="1"/>
  <c r="FX57" i="1"/>
  <c r="FC9" i="1"/>
  <c r="EV57" i="1"/>
  <c r="DY27" i="1"/>
  <c r="DY62" i="1"/>
  <c r="DY24" i="1"/>
  <c r="DY30" i="1"/>
  <c r="DY41" i="1"/>
  <c r="DY11" i="1"/>
  <c r="DY44" i="1"/>
  <c r="DY35" i="1"/>
  <c r="DY18" i="1"/>
  <c r="DY29" i="1"/>
  <c r="DY56" i="1"/>
  <c r="DY57" i="1"/>
  <c r="DY81" i="1"/>
  <c r="DY83" i="1"/>
  <c r="DY14" i="1"/>
  <c r="DY48" i="1"/>
  <c r="DY33" i="1"/>
  <c r="DY47" i="1"/>
  <c r="DY67" i="1"/>
  <c r="DY32" i="1"/>
  <c r="DY21" i="1"/>
  <c r="DY51" i="1"/>
  <c r="DY84" i="1"/>
  <c r="DY85" i="1"/>
  <c r="DY66" i="1"/>
  <c r="DY73" i="1"/>
  <c r="DY28" i="1"/>
  <c r="DY60" i="1"/>
  <c r="DY64" i="1"/>
  <c r="DY34" i="1"/>
  <c r="DY50" i="1"/>
  <c r="DY20" i="1"/>
  <c r="DY46" i="1"/>
  <c r="DY49" i="1"/>
  <c r="DY82" i="1"/>
  <c r="DY10" i="1"/>
  <c r="DY31" i="1"/>
  <c r="DY63" i="1"/>
  <c r="DY75" i="1"/>
  <c r="DY13" i="1"/>
  <c r="DY77" i="1"/>
  <c r="DY16" i="1"/>
  <c r="DY19" i="1"/>
  <c r="DY26" i="1"/>
  <c r="DY61" i="1"/>
  <c r="FX7" i="1"/>
  <c r="EV23" i="1"/>
  <c r="DY55" i="1"/>
  <c r="DY72" i="1"/>
  <c r="DY58" i="1"/>
  <c r="DY79" i="1"/>
  <c r="DY52" i="1"/>
  <c r="DY78" i="1"/>
  <c r="DY37" i="1"/>
  <c r="DY65" i="1"/>
  <c r="DY43" i="1"/>
  <c r="DY36" i="1"/>
  <c r="EV37" i="1"/>
  <c r="DY69" i="1"/>
  <c r="DY45" i="1"/>
  <c r="DY15" i="1"/>
  <c r="DY74" i="1"/>
  <c r="DY12" i="1"/>
  <c r="DY39" i="1"/>
  <c r="DY25" i="1"/>
  <c r="DY59" i="1"/>
  <c r="DY9" i="1"/>
  <c r="FC7" i="1"/>
  <c r="DY71" i="1"/>
  <c r="DY17" i="1"/>
  <c r="DY53" i="1"/>
  <c r="DY76" i="1"/>
  <c r="DY42" i="1"/>
  <c r="DY40" i="1"/>
  <c r="DY80" i="1"/>
  <c r="DY68" i="1"/>
  <c r="DY8" i="1"/>
  <c r="DY7" i="1"/>
  <c r="DY23" i="1"/>
  <c r="EN27" i="1"/>
  <c r="EO27" i="1" s="1"/>
  <c r="EN11" i="1"/>
  <c r="EO11" i="1" s="1"/>
  <c r="EN83" i="1"/>
  <c r="EO83" i="1" s="1"/>
  <c r="DX83" i="1"/>
  <c r="EN51" i="1"/>
  <c r="EO51" i="1" s="1"/>
  <c r="DX51" i="1"/>
  <c r="EN28" i="1"/>
  <c r="EO28" i="1" s="1"/>
  <c r="EN20" i="1"/>
  <c r="EO20" i="1" s="1"/>
  <c r="EN75" i="1"/>
  <c r="EO75" i="1" s="1"/>
  <c r="DX75" i="1"/>
  <c r="EN61" i="1"/>
  <c r="EO61" i="1" s="1"/>
  <c r="DX61" i="1"/>
  <c r="EN36" i="1"/>
  <c r="EO36" i="1" s="1"/>
  <c r="EN12" i="1"/>
  <c r="EO12" i="1" s="1"/>
  <c r="EN29" i="1"/>
  <c r="EO29" i="1" s="1"/>
  <c r="EN14" i="1"/>
  <c r="EO14" i="1" s="1"/>
  <c r="EN13" i="1"/>
  <c r="EO13" i="1" s="1"/>
  <c r="EN9" i="1"/>
  <c r="EO9" i="1" s="1"/>
  <c r="DX9" i="1"/>
  <c r="EN42" i="1"/>
  <c r="EO42" i="1" s="1"/>
  <c r="DX42" i="1"/>
  <c r="EN35" i="1"/>
  <c r="EO35" i="1" s="1"/>
  <c r="DX35" i="1"/>
  <c r="EN77" i="1"/>
  <c r="EO77" i="1" s="1"/>
  <c r="DX77" i="1"/>
  <c r="EN37" i="1"/>
  <c r="EO37" i="1" s="1"/>
  <c r="EN8" i="1"/>
  <c r="EO8" i="1" s="1"/>
  <c r="DX8" i="1"/>
  <c r="EN40" i="1"/>
  <c r="EO40" i="1" s="1"/>
  <c r="DX40" i="1"/>
  <c r="EN24" i="1"/>
  <c r="EO24" i="1" s="1"/>
  <c r="DX24" i="1"/>
  <c r="EN56" i="1"/>
  <c r="EO56" i="1" s="1"/>
  <c r="DX56" i="1"/>
  <c r="EN32" i="1"/>
  <c r="EO32" i="1" s="1"/>
  <c r="EN31" i="1"/>
  <c r="EO31" i="1" s="1"/>
  <c r="DX31" i="1"/>
  <c r="EN16" i="1"/>
  <c r="EO16" i="1" s="1"/>
  <c r="EN72" i="1"/>
  <c r="EO72" i="1" s="1"/>
  <c r="DX72" i="1"/>
  <c r="EN25" i="1"/>
  <c r="EO25" i="1" s="1"/>
  <c r="DX25" i="1"/>
  <c r="EN30" i="1"/>
  <c r="EO30" i="1" s="1"/>
  <c r="EN57" i="1"/>
  <c r="EO57" i="1" s="1"/>
  <c r="DX57" i="1"/>
  <c r="EN33" i="1"/>
  <c r="EO33" i="1" s="1"/>
  <c r="EN66" i="1"/>
  <c r="EO66" i="1" s="1"/>
  <c r="DX66" i="1"/>
  <c r="EN34" i="1"/>
  <c r="EO34" i="1" s="1"/>
  <c r="EN19" i="1"/>
  <c r="EO19" i="1" s="1"/>
  <c r="DX19" i="1"/>
  <c r="EN58" i="1"/>
  <c r="EO58" i="1" s="1"/>
  <c r="DX58" i="1"/>
  <c r="EN17" i="1"/>
  <c r="EO17" i="1" s="1"/>
  <c r="EN41" i="1"/>
  <c r="EO41" i="1" s="1"/>
  <c r="DX41" i="1"/>
  <c r="EN18" i="1"/>
  <c r="EO18" i="1" s="1"/>
  <c r="DX18" i="1"/>
  <c r="EN47" i="1"/>
  <c r="EO47" i="1" s="1"/>
  <c r="DX47" i="1"/>
  <c r="EN21" i="1"/>
  <c r="EO21" i="1" s="1"/>
  <c r="EN73" i="1"/>
  <c r="EO73" i="1" s="1"/>
  <c r="DX73" i="1"/>
  <c r="EN10" i="1"/>
  <c r="EO10" i="1" s="1"/>
  <c r="EN26" i="1"/>
  <c r="EO26" i="1" s="1"/>
  <c r="DX26" i="1"/>
  <c r="EN15" i="1"/>
  <c r="EO15" i="1" s="1"/>
  <c r="DX15" i="1"/>
  <c r="EN53" i="1"/>
  <c r="EO53" i="1" s="1"/>
  <c r="DX53" i="1"/>
  <c r="EN76" i="1"/>
  <c r="EO76" i="1" s="1"/>
  <c r="DX76" i="1"/>
  <c r="EN80" i="1"/>
  <c r="EO80" i="1" s="1"/>
  <c r="DX80" i="1"/>
  <c r="EN68" i="1"/>
  <c r="EO68" i="1" s="1"/>
  <c r="DX68" i="1"/>
  <c r="EN59" i="1"/>
  <c r="EO59" i="1" s="1"/>
  <c r="DX59" i="1"/>
  <c r="DX27" i="1"/>
  <c r="EN62" i="1"/>
  <c r="EO62" i="1" s="1"/>
  <c r="DX62" i="1"/>
  <c r="DX30" i="1"/>
  <c r="DX11" i="1"/>
  <c r="EN44" i="1"/>
  <c r="EO44" i="1" s="1"/>
  <c r="DX44" i="1"/>
  <c r="DX29" i="1"/>
  <c r="EN81" i="1"/>
  <c r="EO81" i="1" s="1"/>
  <c r="DX81" i="1"/>
  <c r="DX14" i="1"/>
  <c r="EN48" i="1"/>
  <c r="EO48" i="1" s="1"/>
  <c r="DX48" i="1"/>
  <c r="DX33" i="1"/>
  <c r="DX71" i="1"/>
  <c r="EN67" i="1"/>
  <c r="EO67" i="1" s="1"/>
  <c r="DX67" i="1"/>
  <c r="DX32" i="1"/>
  <c r="DX21" i="1"/>
  <c r="EN84" i="1"/>
  <c r="EO84" i="1" s="1"/>
  <c r="DX84" i="1"/>
  <c r="EN85" i="1"/>
  <c r="EO85" i="1" s="1"/>
  <c r="DX85" i="1"/>
  <c r="DX28" i="1"/>
  <c r="EN60" i="1"/>
  <c r="EO60" i="1" s="1"/>
  <c r="DX60" i="1"/>
  <c r="EN64" i="1"/>
  <c r="EO64" i="1" s="1"/>
  <c r="DX64" i="1"/>
  <c r="DX34" i="1"/>
  <c r="EN50" i="1"/>
  <c r="EO50" i="1" s="1"/>
  <c r="DX50" i="1"/>
  <c r="DX20" i="1"/>
  <c r="EN46" i="1"/>
  <c r="EO46" i="1" s="1"/>
  <c r="DX46" i="1"/>
  <c r="EN49" i="1"/>
  <c r="EO49" i="1" s="1"/>
  <c r="DX49" i="1"/>
  <c r="EN82" i="1"/>
  <c r="EO82" i="1" s="1"/>
  <c r="DX82" i="1"/>
  <c r="DX10" i="1"/>
  <c r="DX23" i="1"/>
  <c r="EN63" i="1"/>
  <c r="EO63" i="1" s="1"/>
  <c r="DX63" i="1"/>
  <c r="DX13" i="1"/>
  <c r="DX16" i="1"/>
  <c r="DX17" i="1"/>
  <c r="DX55" i="1"/>
  <c r="EN79" i="1"/>
  <c r="EO79" i="1" s="1"/>
  <c r="DX79" i="1"/>
  <c r="EN52" i="1"/>
  <c r="EO52" i="1" s="1"/>
  <c r="DX52" i="1"/>
  <c r="EN78" i="1"/>
  <c r="EO78" i="1" s="1"/>
  <c r="DX78" i="1"/>
  <c r="DX37" i="1"/>
  <c r="EN65" i="1"/>
  <c r="EO65" i="1" s="1"/>
  <c r="DX65" i="1"/>
  <c r="EN43" i="1"/>
  <c r="EO43" i="1" s="1"/>
  <c r="DX43" i="1"/>
  <c r="DX36" i="1"/>
  <c r="EN69" i="1"/>
  <c r="EO69" i="1" s="1"/>
  <c r="DX69" i="1"/>
  <c r="EN45" i="1"/>
  <c r="EO45" i="1" s="1"/>
  <c r="DX45" i="1"/>
  <c r="EN74" i="1"/>
  <c r="EO74" i="1" s="1"/>
  <c r="DX74" i="1"/>
  <c r="DX12" i="1"/>
  <c r="DX39" i="1"/>
  <c r="EN71" i="1"/>
  <c r="EN55" i="1"/>
  <c r="EN23" i="1"/>
  <c r="EN39" i="1"/>
  <c r="EN7" i="1"/>
  <c r="EC74" i="1"/>
  <c r="DV91" i="1"/>
  <c r="EC12" i="1"/>
  <c r="EC39" i="1"/>
  <c r="EC25" i="1"/>
  <c r="EC59" i="1"/>
  <c r="EC9" i="1"/>
  <c r="EC71" i="1"/>
  <c r="EC7" i="1"/>
  <c r="EC17" i="1"/>
  <c r="EC27" i="1"/>
  <c r="EC62" i="1"/>
  <c r="EC24" i="1"/>
  <c r="EC30" i="1"/>
  <c r="EC41" i="1"/>
  <c r="EC53" i="1"/>
  <c r="EC11" i="1"/>
  <c r="EC44" i="1"/>
  <c r="EC35" i="1"/>
  <c r="EC18" i="1"/>
  <c r="EC76" i="1"/>
  <c r="DV93" i="1"/>
  <c r="EC29" i="1"/>
  <c r="EC56" i="1"/>
  <c r="EC57" i="1"/>
  <c r="EC81" i="1"/>
  <c r="DV98" i="1"/>
  <c r="EC83" i="1"/>
  <c r="DV100" i="1"/>
  <c r="EC14" i="1"/>
  <c r="EC48" i="1"/>
  <c r="EC33" i="1"/>
  <c r="EC47" i="1"/>
  <c r="EC40" i="1"/>
  <c r="EC67" i="1"/>
  <c r="EC32" i="1"/>
  <c r="EC51" i="1"/>
  <c r="EC84" i="1"/>
  <c r="DV101" i="1"/>
  <c r="EC85" i="1"/>
  <c r="EC66" i="1"/>
  <c r="EC73" i="1"/>
  <c r="EC28" i="1"/>
  <c r="EC60" i="1"/>
  <c r="EC64" i="1"/>
  <c r="EC34" i="1"/>
  <c r="EC50" i="1"/>
  <c r="EC20" i="1"/>
  <c r="EC46" i="1"/>
  <c r="EC49" i="1"/>
  <c r="EC82" i="1"/>
  <c r="DV99" i="1"/>
  <c r="EC10" i="1"/>
  <c r="EC68" i="1"/>
  <c r="EC23" i="1"/>
  <c r="EC31" i="1"/>
  <c r="EC63" i="1"/>
  <c r="EC75" i="1"/>
  <c r="EC13" i="1"/>
  <c r="EC77" i="1"/>
  <c r="DV94" i="1"/>
  <c r="EC16" i="1"/>
  <c r="EC19" i="1"/>
  <c r="EC26" i="1"/>
  <c r="EC61" i="1"/>
  <c r="EC55" i="1"/>
  <c r="EC72" i="1"/>
  <c r="EC58" i="1"/>
  <c r="EC79" i="1"/>
  <c r="DV96" i="1"/>
  <c r="EC80" i="1"/>
  <c r="DV97" i="1"/>
  <c r="EC52" i="1"/>
  <c r="EC78" i="1"/>
  <c r="DV95" i="1"/>
  <c r="EC37" i="1"/>
  <c r="EC65" i="1"/>
  <c r="EC43" i="1"/>
  <c r="EC42" i="1"/>
  <c r="EC36" i="1"/>
  <c r="EC69" i="1"/>
  <c r="EC8" i="1"/>
  <c r="EC45" i="1"/>
  <c r="EC15" i="1"/>
  <c r="DV102" i="1"/>
  <c r="EC21" i="1"/>
  <c r="DV92" i="1"/>
  <c r="DV90" i="1"/>
  <c r="DV89" i="1"/>
  <c r="EB75" i="1"/>
  <c r="EI28" i="1"/>
  <c r="EI12" i="1"/>
  <c r="EI44" i="1"/>
  <c r="EX93" i="1"/>
  <c r="EI76" i="1"/>
  <c r="EI60" i="1"/>
  <c r="EB60" i="1"/>
  <c r="EB12" i="1"/>
  <c r="EB28" i="1"/>
  <c r="EB44" i="1"/>
  <c r="EB78" i="1"/>
  <c r="EI80" i="1"/>
  <c r="EI48" i="1"/>
  <c r="EI16" i="1"/>
  <c r="EI64" i="1"/>
  <c r="EI32" i="1"/>
  <c r="EX97" i="1"/>
  <c r="EB16" i="1"/>
  <c r="EB32" i="1"/>
  <c r="EB64" i="1"/>
  <c r="EB48" i="1"/>
  <c r="EB84" i="1"/>
  <c r="EI23" i="1"/>
  <c r="EI71" i="1"/>
  <c r="EX88" i="1"/>
  <c r="EI55" i="1"/>
  <c r="EI7" i="1"/>
  <c r="EI39" i="1"/>
  <c r="EB55" i="1"/>
  <c r="EB7" i="1"/>
  <c r="EB23" i="1"/>
  <c r="EB39" i="1"/>
  <c r="EB83" i="1"/>
  <c r="EI68" i="1"/>
  <c r="EI20" i="1"/>
  <c r="EI84" i="1"/>
  <c r="EI52" i="1"/>
  <c r="EI36" i="1"/>
  <c r="EX101" i="1"/>
  <c r="EB68" i="1"/>
  <c r="EB36" i="1"/>
  <c r="EB20" i="1"/>
  <c r="EB52" i="1"/>
  <c r="EB76" i="1"/>
  <c r="EI53" i="1"/>
  <c r="EX102" i="1"/>
  <c r="EI37" i="1"/>
  <c r="EI69" i="1"/>
  <c r="EI21" i="1"/>
  <c r="EI85" i="1"/>
  <c r="EB53" i="1"/>
  <c r="EB69" i="1"/>
  <c r="EB37" i="1"/>
  <c r="EB21" i="1"/>
  <c r="EB82" i="1"/>
  <c r="EI9" i="1"/>
  <c r="EX90" i="1"/>
  <c r="EI73" i="1"/>
  <c r="EI57" i="1"/>
  <c r="EI41" i="1"/>
  <c r="EI25" i="1"/>
  <c r="EB9" i="1"/>
  <c r="EB25" i="1"/>
  <c r="EB41" i="1"/>
  <c r="EB57" i="1"/>
  <c r="EB80" i="1"/>
  <c r="EX98" i="1"/>
  <c r="EI81" i="1"/>
  <c r="EI65" i="1"/>
  <c r="EI33" i="1"/>
  <c r="EI49" i="1"/>
  <c r="EI17" i="1"/>
  <c r="EB33" i="1"/>
  <c r="EB49" i="1"/>
  <c r="EB17" i="1"/>
  <c r="EB65" i="1"/>
  <c r="EI18" i="1"/>
  <c r="EI50" i="1"/>
  <c r="EX99" i="1"/>
  <c r="EI82" i="1"/>
  <c r="EI34" i="1"/>
  <c r="EI66" i="1"/>
  <c r="EB34" i="1"/>
  <c r="EB66" i="1"/>
  <c r="EB18" i="1"/>
  <c r="EB50" i="1"/>
  <c r="EI19" i="1"/>
  <c r="EX100" i="1"/>
  <c r="EI83" i="1"/>
  <c r="EI67" i="1"/>
  <c r="EI35" i="1"/>
  <c r="EI51" i="1"/>
  <c r="EB19" i="1"/>
  <c r="EB51" i="1"/>
  <c r="EB67" i="1"/>
  <c r="EB35" i="1"/>
  <c r="EB72" i="1"/>
  <c r="EI11" i="1"/>
  <c r="EX92" i="1"/>
  <c r="EI75" i="1"/>
  <c r="EI59" i="1"/>
  <c r="EI43" i="1"/>
  <c r="EI27" i="1"/>
  <c r="EB59" i="1"/>
  <c r="EB27" i="1"/>
  <c r="EB43" i="1"/>
  <c r="EB11" i="1"/>
  <c r="EI45" i="1"/>
  <c r="EI29" i="1"/>
  <c r="EX94" i="1"/>
  <c r="EI13" i="1"/>
  <c r="EI61" i="1"/>
  <c r="EI77" i="1"/>
  <c r="EB45" i="1"/>
  <c r="EB61" i="1"/>
  <c r="EB13" i="1"/>
  <c r="EB29" i="1"/>
  <c r="EB79" i="1"/>
  <c r="EB71" i="1"/>
  <c r="EX89" i="1"/>
  <c r="EI72" i="1"/>
  <c r="EI56" i="1"/>
  <c r="EI8" i="1"/>
  <c r="EI40" i="1"/>
  <c r="EI24" i="1"/>
  <c r="EB8" i="1"/>
  <c r="EB24" i="1"/>
  <c r="EB56" i="1"/>
  <c r="EB40" i="1"/>
  <c r="EB74" i="1"/>
  <c r="EI15" i="1"/>
  <c r="EI47" i="1"/>
  <c r="EI31" i="1"/>
  <c r="EI63" i="1"/>
  <c r="EX96" i="1"/>
  <c r="EI79" i="1"/>
  <c r="EB47" i="1"/>
  <c r="EB31" i="1"/>
  <c r="EB63" i="1"/>
  <c r="EB15" i="1"/>
  <c r="EB77" i="1"/>
  <c r="EB85" i="1"/>
  <c r="EB81" i="1"/>
  <c r="EB73" i="1"/>
  <c r="EI62" i="1"/>
  <c r="EI46" i="1"/>
  <c r="EI30" i="1"/>
  <c r="EI14" i="1"/>
  <c r="EX95" i="1"/>
  <c r="EI78" i="1"/>
  <c r="EB30" i="1"/>
  <c r="EB46" i="1"/>
  <c r="EB62" i="1"/>
  <c r="EB14" i="1"/>
  <c r="EI10" i="1"/>
  <c r="EX91" i="1"/>
  <c r="EI74" i="1"/>
  <c r="EI58" i="1"/>
  <c r="EI42" i="1"/>
  <c r="EI26" i="1"/>
  <c r="EB58" i="1"/>
  <c r="EB10" i="1"/>
  <c r="EB26" i="1"/>
  <c r="EB42" i="1"/>
  <c r="DV88" i="1"/>
  <c r="G98" i="1"/>
  <c r="B98" i="1"/>
  <c r="D98" i="1"/>
  <c r="EM35" i="1" a="1"/>
  <c r="EM34" i="1" a="1"/>
  <c r="EM50" i="1" a="1"/>
  <c r="EM20" i="1" a="1"/>
  <c r="EM82" i="1" a="1"/>
  <c r="EM52" i="1" a="1"/>
  <c r="EM83" i="1" a="1"/>
  <c r="EM36" i="1" a="1"/>
  <c r="EM51" i="1" a="1"/>
  <c r="EM84" i="1" a="1"/>
  <c r="EM66" i="1" a="1"/>
  <c r="EM68" i="1" a="1"/>
  <c r="EM19" i="1" a="1"/>
  <c r="EM67" i="1" a="1"/>
  <c r="EM18" i="1" a="1"/>
  <c r="EM29" i="1" a="1"/>
  <c r="EM58" i="1" a="1"/>
  <c r="EH30" i="1" a="1"/>
  <c r="EH67" i="1" a="1"/>
  <c r="EH10" i="1" a="1"/>
  <c r="EH39" i="1" a="1"/>
  <c r="EH64" i="1" a="1"/>
  <c r="EH13" i="1" a="1"/>
  <c r="EH29" i="1" a="1"/>
  <c r="EH44" i="1" a="1"/>
  <c r="EH68" i="1" a="1"/>
  <c r="EM72" i="1" a="1"/>
  <c r="EM59" i="1" a="1"/>
  <c r="EH56" i="1" a="1"/>
  <c r="EH55" i="1" a="1"/>
  <c r="EH79" i="1" a="1"/>
  <c r="EH74" i="1" a="1"/>
  <c r="EH41" i="1" a="1"/>
  <c r="EM16" i="1" a="1"/>
  <c r="EH33" i="1" a="1"/>
  <c r="EH80" i="1" a="1"/>
  <c r="EM71" i="1" a="1"/>
  <c r="EM80" i="1" a="1"/>
  <c r="EH35" i="1" a="1"/>
  <c r="EH21" i="1" a="1"/>
  <c r="EH46" i="1" a="1"/>
  <c r="EH20" i="1" a="1"/>
  <c r="EM12" i="1" a="1"/>
  <c r="EH23" i="1" a="1"/>
  <c r="EH40" i="1" a="1"/>
  <c r="EH45" i="1" a="1"/>
  <c r="EM74" i="1" a="1"/>
  <c r="EM31" i="1" a="1"/>
  <c r="EM26" i="1" a="1"/>
  <c r="EM55" i="1" a="1"/>
  <c r="EH42" i="1" a="1"/>
  <c r="EH7" i="1" a="1"/>
  <c r="EM77" i="1" a="1"/>
  <c r="EM14" i="1" a="1"/>
  <c r="EM78" i="1" a="1"/>
  <c r="EM45" i="1" a="1"/>
  <c r="EM63" i="1" a="1"/>
  <c r="EM7" i="1" a="1"/>
  <c r="EH52" i="1" a="1"/>
  <c r="EH16" i="1" a="1"/>
  <c r="EM15" i="1" a="1"/>
  <c r="EM42" i="1" a="1"/>
  <c r="EM65" i="1" a="1"/>
  <c r="EH14" i="1" a="1"/>
  <c r="EH72" i="1" a="1"/>
  <c r="EM48" i="1" a="1"/>
  <c r="EM73" i="1" a="1"/>
  <c r="EM60" i="1" a="1"/>
  <c r="EH17" i="1" a="1"/>
  <c r="EH77" i="1" a="1"/>
  <c r="EH12" i="1" a="1"/>
  <c r="EH63" i="1" a="1"/>
  <c r="EH62" i="1" a="1"/>
  <c r="EH26" i="1" a="1"/>
  <c r="EH25" i="1" a="1"/>
  <c r="EM57" i="1" a="1"/>
  <c r="EM17" i="1" a="1"/>
  <c r="EM41" i="1" a="1"/>
  <c r="EM25" i="1" a="1"/>
  <c r="EH69" i="1" a="1"/>
  <c r="EH73" i="1" a="1"/>
  <c r="EH83" i="1" a="1"/>
  <c r="EH18" i="1" a="1"/>
  <c r="EH84" i="1" a="1"/>
  <c r="EH58" i="1" a="1"/>
  <c r="EH48" i="1" a="1"/>
  <c r="EH27" i="1" a="1"/>
  <c r="EM39" i="1" a="1"/>
  <c r="EM44" i="1" a="1"/>
  <c r="EM28" i="1" a="1"/>
  <c r="EM24" i="1" a="1"/>
  <c r="EM10" i="1" a="1"/>
  <c r="EH65" i="1" a="1"/>
  <c r="EH19" i="1" a="1"/>
  <c r="EH57" i="1" a="1"/>
  <c r="EH71" i="1" a="1"/>
  <c r="EH78" i="1" a="1"/>
  <c r="EH53" i="1" a="1"/>
  <c r="EH59" i="1" a="1"/>
  <c r="EM46" i="1" a="1"/>
  <c r="EM81" i="1" a="1"/>
  <c r="EM27" i="1" a="1"/>
  <c r="EH28" i="1" a="1"/>
  <c r="EH32" i="1" a="1"/>
  <c r="EM9" i="1" a="1"/>
  <c r="EH60" i="1" a="1"/>
  <c r="EH82" i="1" a="1"/>
  <c r="EH75" i="1" a="1"/>
  <c r="EH36" i="1" a="1"/>
  <c r="EH85" i="1" a="1"/>
  <c r="EH37" i="1" a="1"/>
  <c r="EH61" i="1" a="1"/>
  <c r="EM62" i="1" a="1"/>
  <c r="EM75" i="1" a="1"/>
  <c r="EM64" i="1" a="1"/>
  <c r="EM33" i="1" a="1"/>
  <c r="EM11" i="1" a="1"/>
  <c r="EH34" i="1" a="1"/>
  <c r="EH51" i="1" a="1"/>
  <c r="EH50" i="1" a="1"/>
  <c r="EM47" i="1" a="1"/>
  <c r="EM13" i="1" a="1"/>
  <c r="EM40" i="1" a="1"/>
  <c r="EM30" i="1" a="1"/>
  <c r="EH43" i="1" a="1"/>
  <c r="EH24" i="1" a="1"/>
  <c r="EM49" i="1" a="1"/>
  <c r="EM43" i="1" a="1"/>
  <c r="EM32" i="1" a="1"/>
  <c r="EH49" i="1" a="1"/>
  <c r="EH31" i="1" a="1"/>
  <c r="EH15" i="1" a="1"/>
  <c r="EM76" i="1" a="1"/>
  <c r="EM61" i="1" a="1"/>
  <c r="EM23" i="1" a="1"/>
  <c r="EH9" i="1" a="1"/>
  <c r="EH76" i="1" a="1"/>
  <c r="EM79" i="1" a="1"/>
  <c r="EM56" i="1" a="1"/>
  <c r="EH81" i="1" a="1"/>
  <c r="EH8" i="1" a="1"/>
  <c r="EH11" i="1" a="1"/>
  <c r="EM8" i="1" a="1"/>
  <c r="EH47" i="1" a="1"/>
  <c r="EH66" i="1" a="1"/>
  <c r="EM35" i="1" l="1"/>
  <c r="EM19" i="1"/>
  <c r="EM64" i="1"/>
  <c r="EM81" i="1"/>
  <c r="EM28" i="1"/>
  <c r="EM68" i="1"/>
  <c r="EM45" i="1"/>
  <c r="EM26" i="1"/>
  <c r="EM80" i="1"/>
  <c r="EM29" i="1"/>
  <c r="EM77" i="1"/>
  <c r="EM66" i="1"/>
  <c r="EM76" i="1"/>
  <c r="EM43" i="1"/>
  <c r="EM13" i="1"/>
  <c r="EM75" i="1"/>
  <c r="EM84" i="1"/>
  <c r="EM44" i="1"/>
  <c r="EM17" i="1"/>
  <c r="EM51" i="1"/>
  <c r="EM42" i="1"/>
  <c r="EM78" i="1"/>
  <c r="EM31" i="1"/>
  <c r="EM36" i="1"/>
  <c r="EM52" i="1"/>
  <c r="EM79" i="1"/>
  <c r="EM82" i="1"/>
  <c r="EM49" i="1"/>
  <c r="EM47" i="1"/>
  <c r="EM62" i="1"/>
  <c r="EM46" i="1"/>
  <c r="EM20" i="1"/>
  <c r="EM48" i="1"/>
  <c r="EM50" i="1"/>
  <c r="EM14" i="1"/>
  <c r="EM74" i="1"/>
  <c r="EM34" i="1"/>
  <c r="EM60" i="1"/>
  <c r="EM65" i="1"/>
  <c r="EM63" i="1"/>
  <c r="EM59" i="1"/>
  <c r="EM58" i="1"/>
  <c r="EM61" i="1"/>
  <c r="EM32" i="1"/>
  <c r="EM30" i="1"/>
  <c r="EM33" i="1"/>
  <c r="EM27" i="1"/>
  <c r="EM12" i="1"/>
  <c r="EM15" i="1"/>
  <c r="EM16" i="1"/>
  <c r="EM18" i="1"/>
  <c r="EM11" i="1"/>
  <c r="EM10" i="1"/>
  <c r="EM83" i="1"/>
  <c r="EM67" i="1"/>
  <c r="EM7" i="1"/>
  <c r="EM8" i="1"/>
  <c r="EM57" i="1"/>
  <c r="EM56" i="1"/>
  <c r="EM40" i="1"/>
  <c r="EM73" i="1"/>
  <c r="EM25" i="1"/>
  <c r="EM72" i="1"/>
  <c r="EM41" i="1"/>
  <c r="EM9" i="1"/>
  <c r="EM24" i="1"/>
  <c r="EV88" i="1"/>
  <c r="DZ98" i="1"/>
  <c r="DZ97" i="1"/>
  <c r="DZ100" i="1"/>
  <c r="EM39" i="1"/>
  <c r="EM55" i="1"/>
  <c r="EM71" i="1"/>
  <c r="DZ94" i="1"/>
  <c r="DZ91" i="1"/>
  <c r="DZ95" i="1"/>
  <c r="DZ93" i="1"/>
  <c r="DZ102" i="1"/>
  <c r="DZ99" i="1"/>
  <c r="DZ101" i="1"/>
  <c r="DZ96" i="1"/>
  <c r="DZ90" i="1"/>
  <c r="DZ92" i="1"/>
  <c r="DZ89" i="1"/>
  <c r="EM23" i="1"/>
  <c r="EH78" i="1"/>
  <c r="EH74" i="1"/>
  <c r="EH58" i="1"/>
  <c r="EH51" i="1"/>
  <c r="EH72" i="1"/>
  <c r="EH76" i="1"/>
  <c r="EH42" i="1"/>
  <c r="EH35" i="1"/>
  <c r="EH21" i="1"/>
  <c r="EH60" i="1"/>
  <c r="EH75" i="1"/>
  <c r="EH24" i="1"/>
  <c r="EH85" i="1"/>
  <c r="EH18" i="1"/>
  <c r="EH19" i="1"/>
  <c r="EH44" i="1"/>
  <c r="EH16" i="1"/>
  <c r="EH69" i="1"/>
  <c r="EH17" i="1"/>
  <c r="EH41" i="1"/>
  <c r="EH28" i="1"/>
  <c r="EH53" i="1"/>
  <c r="EH14" i="1"/>
  <c r="EH25" i="1"/>
  <c r="EH20" i="1"/>
  <c r="EH67" i="1"/>
  <c r="EH37" i="1"/>
  <c r="EH9" i="1"/>
  <c r="EH73" i="1"/>
  <c r="EH84" i="1"/>
  <c r="EH47" i="1"/>
  <c r="EH13" i="1"/>
  <c r="EH34" i="1"/>
  <c r="EH48" i="1"/>
  <c r="EH57" i="1"/>
  <c r="EH68" i="1"/>
  <c r="EH82" i="1"/>
  <c r="EH52" i="1"/>
  <c r="EH32" i="1"/>
  <c r="EH66" i="1"/>
  <c r="EH80" i="1"/>
  <c r="EH61" i="1"/>
  <c r="EH36" i="1"/>
  <c r="EH79" i="1"/>
  <c r="EH50" i="1"/>
  <c r="EH64" i="1"/>
  <c r="EH45" i="1"/>
  <c r="EH12" i="1"/>
  <c r="EH77" i="1"/>
  <c r="EH63" i="1"/>
  <c r="EH49" i="1"/>
  <c r="EH15" i="1"/>
  <c r="EH29" i="1"/>
  <c r="EH27" i="1"/>
  <c r="EH33" i="1"/>
  <c r="EH31" i="1"/>
  <c r="EH81" i="1"/>
  <c r="EH8" i="1"/>
  <c r="EH62" i="1"/>
  <c r="EH59" i="1"/>
  <c r="EH10" i="1"/>
  <c r="EH65" i="1"/>
  <c r="EH56" i="1"/>
  <c r="EH46" i="1"/>
  <c r="EH43" i="1"/>
  <c r="EH26" i="1"/>
  <c r="EH83" i="1"/>
  <c r="EH40" i="1"/>
  <c r="EH30" i="1"/>
  <c r="EH11" i="1"/>
  <c r="EH39" i="1"/>
  <c r="EH23" i="1"/>
  <c r="EH55" i="1"/>
  <c r="EH71" i="1"/>
  <c r="EO39" i="1"/>
  <c r="EO55" i="1"/>
  <c r="EO71" i="1"/>
  <c r="EO23" i="1"/>
  <c r="EH7" i="1"/>
  <c r="EO7" i="1"/>
  <c r="A2" i="8" a="1"/>
  <c r="A2" i="7" a="1"/>
  <c r="A2" i="23" a="1"/>
  <c r="A2" i="9" a="1"/>
  <c r="A2" i="10" a="1"/>
  <c r="A2" i="11" a="1"/>
  <c r="A2" i="10" l="1"/>
  <c r="A2" i="9"/>
  <c r="A2" i="8"/>
  <c r="A2" i="11"/>
  <c r="A2" i="23"/>
  <c r="A2" i="7"/>
  <c r="DZ88" i="1"/>
  <c r="A2" i="20" a="1"/>
  <c r="A2" i="2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Q1" authorId="0" shapeId="0" xr:uid="{A4EF9A1F-C345-4535-956F-0ECCA0B642F5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DETERMINES REFRAG INTERVALS FOR CALCULATIONS</t>
        </r>
      </text>
    </comment>
    <comment ref="EP6" authorId="0" shapeId="0" xr:uid="{7421F1A9-E1FE-41DC-8C68-CB948CFA5CB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6" authorId="0" shapeId="0" xr:uid="{7DC6EFCF-FC45-47CB-B2AC-9753E73E2E9A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22" authorId="0" shapeId="0" xr:uid="{3B980459-FB0E-46A8-B523-EFC8127B7FBA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22" authorId="0" shapeId="0" xr:uid="{3D46C467-ED8A-4FE6-B727-BE02D29AD74A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38" authorId="0" shapeId="0" xr:uid="{41F2AC6E-3A20-4BBB-A4BC-29F98C77FC97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38" authorId="0" shapeId="0" xr:uid="{AB7A9C7E-C18E-4F95-9CE4-269DCF1E6406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AB41" authorId="0" shapeId="0" xr:uid="{DCE8473E-3D62-4F59-80EB-BAED92F3C003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DEFAULTS TO 2</t>
        </r>
      </text>
    </comment>
    <comment ref="EP54" authorId="0" shapeId="0" xr:uid="{C454B924-D398-41B1-B309-E060E978FD0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54" authorId="0" shapeId="0" xr:uid="{B4C4A4B7-754C-402E-A1BD-3D24CD914537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  <comment ref="EP70" authorId="0" shapeId="0" xr:uid="{F926D3ED-0AE0-4551-8D8C-0173A254E6D0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GA70" authorId="0" shapeId="0" xr:uid="{8818ABD3-B9B8-4FB1-8C87-3397935F98EC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173C6F0B-5E58-44CE-A15B-FE44BDECD1FA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E05EEAB8-FF39-4D17-B4BA-3AA59078F2C6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7F6E2974-438E-4944-8D8C-D4F5F7D736CE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933E53A6-2A91-4EE8-AE2E-5F811C51A1DE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BB69A50B-A3AD-4CE1-8E76-6337D963E558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A14C7C5F-E784-4837-9540-86C4F757C7ED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19C7BEF5-97B3-4F59-AB1B-49D6C0B16896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3B1CA02B-F933-4305-B4F0-7275157E649F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Autumn</author>
  </authors>
  <commentList>
    <comment ref="Z1" authorId="0" shapeId="0" xr:uid="{F7249565-F142-4FE4-B7C6-A8CD4864A5BC}">
      <text>
        <r>
          <rPr>
            <b/>
            <sz val="9"/>
            <color indexed="81"/>
            <rFont val="Tahoma"/>
            <charset val="1"/>
          </rPr>
          <t>Autumn:</t>
        </r>
        <r>
          <rPr>
            <sz val="9"/>
            <color indexed="81"/>
            <rFont val="Tahoma"/>
            <charset val="1"/>
          </rPr>
          <t xml:space="preserve">
ADD HS CALC TO THE KILL DATA FETCHER
</t>
        </r>
      </text>
    </comment>
    <comment ref="BK1" authorId="0" shapeId="0" xr:uid="{FFB34F2E-8659-4280-8F55-7749C68502DF}">
      <text>
        <r>
          <rPr>
            <b/>
            <sz val="9"/>
            <color indexed="81"/>
            <rFont val="Tahoma"/>
            <family val="2"/>
          </rPr>
          <t>Autumn:</t>
        </r>
        <r>
          <rPr>
            <sz val="9"/>
            <color indexed="81"/>
            <rFont val="Tahoma"/>
            <family val="2"/>
          </rPr>
          <t xml:space="preserve">
ADD DISABLE FOR ZPING STATS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<sst xmlns="http://schemas.openxmlformats.org/spreadsheetml/2006/main" count="1570" uniqueCount="460">
  <si>
    <t>PLAYER1</t>
  </si>
  <si>
    <t>DATE</t>
  </si>
  <si>
    <t>MAP</t>
  </si>
  <si>
    <t>OPPONENT</t>
  </si>
  <si>
    <t>OBA</t>
  </si>
  <si>
    <t>OBD</t>
  </si>
  <si>
    <t>TBA</t>
  </si>
  <si>
    <t>TBD</t>
  </si>
  <si>
    <t>MATCH OVERVIEW</t>
  </si>
  <si>
    <t>KILLS</t>
  </si>
  <si>
    <t>HS KILLS</t>
  </si>
  <si>
    <t>UTIL KILLS</t>
  </si>
  <si>
    <t>KD</t>
  </si>
  <si>
    <t>PLAYER2</t>
  </si>
  <si>
    <t>PLAYER3</t>
  </si>
  <si>
    <t>PLAYER4</t>
  </si>
  <si>
    <t>PLAYER5</t>
  </si>
  <si>
    <t>ENTRY KILLS</t>
  </si>
  <si>
    <t>DEATHS</t>
  </si>
  <si>
    <t>UTIL DEATHS</t>
  </si>
  <si>
    <t>TRADED DEATHS</t>
  </si>
  <si>
    <t>TRADED KILLS</t>
  </si>
  <si>
    <t>OPPONENTS</t>
  </si>
  <si>
    <t>NAME</t>
  </si>
  <si>
    <t>OP1</t>
  </si>
  <si>
    <t>OP2</t>
  </si>
  <si>
    <t>OP3</t>
  </si>
  <si>
    <t>OP4</t>
  </si>
  <si>
    <t>OP5</t>
  </si>
  <si>
    <t>OPENING KILLS</t>
  </si>
  <si>
    <t>ENTRY DEATHS</t>
  </si>
  <si>
    <t>OPENING DEATHS</t>
  </si>
  <si>
    <t>ATOD</t>
  </si>
  <si>
    <t>KOST</t>
  </si>
  <si>
    <t>OBJ</t>
  </si>
  <si>
    <t>1VXCLUTCH</t>
  </si>
  <si>
    <t>1VX TOTAL</t>
  </si>
  <si>
    <t>MULTIKILL</t>
  </si>
  <si>
    <t>ATTACK</t>
  </si>
  <si>
    <t>OVERALL</t>
  </si>
  <si>
    <t>DEFENCE</t>
  </si>
  <si>
    <t>ZPING</t>
  </si>
  <si>
    <t>DDP</t>
  </si>
  <si>
    <t>POCKET</t>
  </si>
  <si>
    <t>ROUNDS</t>
  </si>
  <si>
    <t>CLUTCHED</t>
  </si>
  <si>
    <t>ROUND</t>
  </si>
  <si>
    <t>P1</t>
  </si>
  <si>
    <t>P2</t>
  </si>
  <si>
    <t>P3</t>
  </si>
  <si>
    <t>P4</t>
  </si>
  <si>
    <t>P5</t>
  </si>
  <si>
    <t>OUR REFRAG INTERVAL</t>
  </si>
  <si>
    <t>THEIR REFRAG INTERVAL</t>
  </si>
  <si>
    <t>TOD</t>
  </si>
  <si>
    <t>SIDE</t>
  </si>
  <si>
    <t>OUTCOME</t>
  </si>
  <si>
    <t>DKR</t>
  </si>
  <si>
    <t>DKP</t>
  </si>
  <si>
    <t>5V3THROWN</t>
  </si>
  <si>
    <t>K1LOC</t>
  </si>
  <si>
    <t>K2LOC</t>
  </si>
  <si>
    <t>KILLER</t>
  </si>
  <si>
    <t>K3LOC</t>
  </si>
  <si>
    <t>K4LOC</t>
  </si>
  <si>
    <t>K5LOC</t>
  </si>
  <si>
    <t>1VX</t>
  </si>
  <si>
    <t>INPUT</t>
  </si>
  <si>
    <t>UTIL DEATH</t>
  </si>
  <si>
    <t>DEATHT</t>
  </si>
  <si>
    <t>DLOC</t>
  </si>
  <si>
    <t>KILL1P</t>
  </si>
  <si>
    <t>KILLT</t>
  </si>
  <si>
    <t>KLOC</t>
  </si>
  <si>
    <t>KUTIL</t>
  </si>
  <si>
    <t>KILLPLAYER</t>
  </si>
  <si>
    <t>KILL5P</t>
  </si>
  <si>
    <t>KILL4P</t>
  </si>
  <si>
    <t>KILL3P</t>
  </si>
  <si>
    <t>KILL2P</t>
  </si>
  <si>
    <t>AUTOCALC</t>
  </si>
  <si>
    <t>PLAYERS</t>
  </si>
  <si>
    <t>OPERATORS</t>
  </si>
  <si>
    <t>Azami</t>
  </si>
  <si>
    <t>Osa</t>
  </si>
  <si>
    <t>Thorn</t>
  </si>
  <si>
    <t>Flores</t>
  </si>
  <si>
    <t>Thunderbird</t>
  </si>
  <si>
    <t>Zero</t>
  </si>
  <si>
    <t>Aruni</t>
  </si>
  <si>
    <t>Ace</t>
  </si>
  <si>
    <t>Melusi</t>
  </si>
  <si>
    <t>Iana</t>
  </si>
  <si>
    <t>Oryx</t>
  </si>
  <si>
    <t>Kali</t>
  </si>
  <si>
    <t>Wamai</t>
  </si>
  <si>
    <t>Amaru</t>
  </si>
  <si>
    <t>Goyo</t>
  </si>
  <si>
    <t>Nokk</t>
  </si>
  <si>
    <t>Warden</t>
  </si>
  <si>
    <t>Gridlock</t>
  </si>
  <si>
    <t>Mozzie</t>
  </si>
  <si>
    <t>Nomad</t>
  </si>
  <si>
    <t>Kaid</t>
  </si>
  <si>
    <t>Maverick</t>
  </si>
  <si>
    <t>Clash</t>
  </si>
  <si>
    <t>Lion</t>
  </si>
  <si>
    <t>Maestro</t>
  </si>
  <si>
    <t>Finka</t>
  </si>
  <si>
    <t>Alibi</t>
  </si>
  <si>
    <t>Dokkaebi</t>
  </si>
  <si>
    <t>Vigil</t>
  </si>
  <si>
    <t>Zofia</t>
  </si>
  <si>
    <t>Ela</t>
  </si>
  <si>
    <t>Ying</t>
  </si>
  <si>
    <t>Lesion</t>
  </si>
  <si>
    <t>Jackel</t>
  </si>
  <si>
    <t>Mira</t>
  </si>
  <si>
    <t>Hibanna</t>
  </si>
  <si>
    <t>Echo</t>
  </si>
  <si>
    <t>Capitao</t>
  </si>
  <si>
    <t>Caviera</t>
  </si>
  <si>
    <t>Blackbeard</t>
  </si>
  <si>
    <t>Valkyrie</t>
  </si>
  <si>
    <t>Buck</t>
  </si>
  <si>
    <t>Frost</t>
  </si>
  <si>
    <t>Sledge</t>
  </si>
  <si>
    <t>Mute</t>
  </si>
  <si>
    <t>Thatcher</t>
  </si>
  <si>
    <t>Smoke</t>
  </si>
  <si>
    <t>Ash</t>
  </si>
  <si>
    <t>Castle</t>
  </si>
  <si>
    <t>Thermite</t>
  </si>
  <si>
    <t>Pulse</t>
  </si>
  <si>
    <t>Montange</t>
  </si>
  <si>
    <t>Doc</t>
  </si>
  <si>
    <t>Twitch</t>
  </si>
  <si>
    <t>Rook</t>
  </si>
  <si>
    <t>Blitz</t>
  </si>
  <si>
    <t>Jager</t>
  </si>
  <si>
    <t>Iq</t>
  </si>
  <si>
    <t>Bandit</t>
  </si>
  <si>
    <t>Fuze</t>
  </si>
  <si>
    <t>Tachanka</t>
  </si>
  <si>
    <t>Glaz</t>
  </si>
  <si>
    <t>Kapkan</t>
  </si>
  <si>
    <t>MAPS</t>
  </si>
  <si>
    <t>RANGE</t>
  </si>
  <si>
    <t>Border</t>
  </si>
  <si>
    <t>REF!h2:h5</t>
  </si>
  <si>
    <t>Chalet</t>
  </si>
  <si>
    <t>REF!h7:h10</t>
  </si>
  <si>
    <t>Clubhouse</t>
  </si>
  <si>
    <t>REF!h12:h15</t>
  </si>
  <si>
    <t>Bank</t>
  </si>
  <si>
    <t>REF!h17:h20</t>
  </si>
  <si>
    <t>Kafe</t>
  </si>
  <si>
    <t>REF!h22:h25</t>
  </si>
  <si>
    <t>Oregon</t>
  </si>
  <si>
    <t>REF!h27:h30</t>
  </si>
  <si>
    <t>Skyscraper</t>
  </si>
  <si>
    <t>REF!h32:h35</t>
  </si>
  <si>
    <t>Theme Park</t>
  </si>
  <si>
    <t>REF!H37:H40</t>
  </si>
  <si>
    <t>Villa</t>
  </si>
  <si>
    <t>REF!h42:h45</t>
  </si>
  <si>
    <t>BORDER</t>
  </si>
  <si>
    <t>SupplyCustoms</t>
  </si>
  <si>
    <t>WorkshopVents</t>
  </si>
  <si>
    <t>BathroomTellers</t>
  </si>
  <si>
    <t>ArmoryArchives</t>
  </si>
  <si>
    <t>CHALET</t>
  </si>
  <si>
    <t>OfficeMaster</t>
  </si>
  <si>
    <t>BarGaming</t>
  </si>
  <si>
    <t>KitchenDining</t>
  </si>
  <si>
    <t>WineSnowmobile</t>
  </si>
  <si>
    <t>CLUBHOUSE</t>
  </si>
  <si>
    <t>BedroomGym</t>
  </si>
  <si>
    <t>CashCCTV</t>
  </si>
  <si>
    <t>BarStock</t>
  </si>
  <si>
    <t>ChurchArsenal</t>
  </si>
  <si>
    <t>BANK</t>
  </si>
  <si>
    <t>CEOOffice</t>
  </si>
  <si>
    <t>OpenStaff</t>
  </si>
  <si>
    <t>TellersArchives</t>
  </si>
  <si>
    <t>CCTVLockers</t>
  </si>
  <si>
    <t>KAFE</t>
  </si>
  <si>
    <t>BarCocktail</t>
  </si>
  <si>
    <t>FireplaceMining</t>
  </si>
  <si>
    <t>FireplaceReading</t>
  </si>
  <si>
    <t>KitchenService</t>
  </si>
  <si>
    <t>OREGON</t>
  </si>
  <si>
    <t>DormsKids</t>
  </si>
  <si>
    <t>MeetingKitchen</t>
  </si>
  <si>
    <t>LaundrySupply</t>
  </si>
  <si>
    <t>SKYSCRAPER</t>
  </si>
  <si>
    <t>TeaKaraoke</t>
  </si>
  <si>
    <t>WorkExibition</t>
  </si>
  <si>
    <t>BBQKitchen</t>
  </si>
  <si>
    <t>BedroomBathroom</t>
  </si>
  <si>
    <t>THEME PARK</t>
  </si>
  <si>
    <t>InitiationOffice</t>
  </si>
  <si>
    <t>BunkDaycare</t>
  </si>
  <si>
    <t>ArmoryThrone</t>
  </si>
  <si>
    <t>LabStorage</t>
  </si>
  <si>
    <t>VILLA</t>
  </si>
  <si>
    <t>AviationGames</t>
  </si>
  <si>
    <t>TrophyStatuary</t>
  </si>
  <si>
    <t>LivingLibrary</t>
  </si>
  <si>
    <t>DiningKitchen</t>
  </si>
  <si>
    <t>REF</t>
  </si>
  <si>
    <t>SITE1</t>
  </si>
  <si>
    <t>SITE2</t>
  </si>
  <si>
    <t>SITE3</t>
  </si>
  <si>
    <t>SITE4</t>
  </si>
  <si>
    <t>SITE NAME</t>
  </si>
  <si>
    <t>OATK</t>
  </si>
  <si>
    <t>ODEF</t>
  </si>
  <si>
    <t>REF!L3:L35</t>
  </si>
  <si>
    <t>DEATHREFRAGGED</t>
  </si>
  <si>
    <t>DEATHTRADED</t>
  </si>
  <si>
    <t>UTILDEATH</t>
  </si>
  <si>
    <t>HSKILLS</t>
  </si>
  <si>
    <t>UTILKILLS</t>
  </si>
  <si>
    <t>DRONEINFO</t>
  </si>
  <si>
    <t>DDPP1</t>
  </si>
  <si>
    <t>DDPP2</t>
  </si>
  <si>
    <t>DDPP3</t>
  </si>
  <si>
    <t>DDPP4</t>
  </si>
  <si>
    <t>DDPP5</t>
  </si>
  <si>
    <t>DKPP1</t>
  </si>
  <si>
    <t>DKPP2</t>
  </si>
  <si>
    <t>DKPP3</t>
  </si>
  <si>
    <t>DKPP4</t>
  </si>
  <si>
    <t>DKRP1</t>
  </si>
  <si>
    <t>DKRP2</t>
  </si>
  <si>
    <t>DKRP3</t>
  </si>
  <si>
    <t>DKRP4</t>
  </si>
  <si>
    <t>DKRP5</t>
  </si>
  <si>
    <t>HEATMAP</t>
  </si>
  <si>
    <t>DEMO</t>
  </si>
  <si>
    <t>ROOMS</t>
  </si>
  <si>
    <t>STAT1</t>
  </si>
  <si>
    <t>STAT2</t>
  </si>
  <si>
    <t>STAT3</t>
  </si>
  <si>
    <t>DEATHLOC</t>
  </si>
  <si>
    <t>EXIT</t>
  </si>
  <si>
    <t>D1DT</t>
  </si>
  <si>
    <t>D2DT</t>
  </si>
  <si>
    <t>ZPINGKILLS</t>
  </si>
  <si>
    <t>ZPINGASSIST</t>
  </si>
  <si>
    <t>ZPINGASSISTER</t>
  </si>
  <si>
    <t>KZPA1</t>
  </si>
  <si>
    <t>KZPA2</t>
  </si>
  <si>
    <t>KZPA3</t>
  </si>
  <si>
    <t>KZPA4</t>
  </si>
  <si>
    <t>KZPA5</t>
  </si>
  <si>
    <t>OPENINGDEATH</t>
  </si>
  <si>
    <t>ENTRYDEATH</t>
  </si>
  <si>
    <t>OPENINGKILL</t>
  </si>
  <si>
    <t>ENTRYKILL</t>
  </si>
  <si>
    <t>OPENINGPICK</t>
  </si>
  <si>
    <t>OBJWIN</t>
  </si>
  <si>
    <t>ROUNDLENGTH</t>
  </si>
  <si>
    <t>DDT1P1</t>
  </si>
  <si>
    <t>DDT2P1</t>
  </si>
  <si>
    <t>DDT1P2</t>
  </si>
  <si>
    <t>DDT2P2</t>
  </si>
  <si>
    <t>DDT1P3</t>
  </si>
  <si>
    <t>DDT2P3</t>
  </si>
  <si>
    <t>DDT1P4</t>
  </si>
  <si>
    <t>DDT2P4</t>
  </si>
  <si>
    <t>POCKETP4</t>
  </si>
  <si>
    <t>DDT1P5</t>
  </si>
  <si>
    <t>DDT2P5</t>
  </si>
  <si>
    <t>A1KPR</t>
  </si>
  <si>
    <t>LEAGUE</t>
  </si>
  <si>
    <t>ROOM1</t>
  </si>
  <si>
    <t>ROOM2</t>
  </si>
  <si>
    <t>ROOM3</t>
  </si>
  <si>
    <t>CALLOUTMAP!C3:C5</t>
  </si>
  <si>
    <t>CALLOUTS</t>
  </si>
  <si>
    <t>NOT FUNCTIONAL</t>
  </si>
  <si>
    <t>ROUND INFO</t>
  </si>
  <si>
    <t>SITE</t>
  </si>
  <si>
    <t>OBJ TIME</t>
  </si>
  <si>
    <t>ROUND TIME</t>
  </si>
  <si>
    <t>STRAT</t>
  </si>
  <si>
    <t>OPP1</t>
  </si>
  <si>
    <t>OPP2</t>
  </si>
  <si>
    <t>OPP3</t>
  </si>
  <si>
    <t>OPP4</t>
  </si>
  <si>
    <t>OPP5</t>
  </si>
  <si>
    <t>PLANTTIME</t>
  </si>
  <si>
    <t>STRATS</t>
  </si>
  <si>
    <t>PP</t>
  </si>
  <si>
    <t>WHO ASSISTED WITH ZPING</t>
  </si>
  <si>
    <t>MATCH DATA</t>
  </si>
  <si>
    <t>HEATMAP DATA</t>
  </si>
  <si>
    <t>MATCH METATDATA</t>
  </si>
  <si>
    <t>MATCH SHEET</t>
  </si>
  <si>
    <t>GENERATE PLAYER DATA AND MATCH DATA</t>
  </si>
  <si>
    <t>APPEND MATCH AND HEATMAP DATA TO PLAYER  DATABASE</t>
  </si>
  <si>
    <t>MATCH METADATA</t>
  </si>
  <si>
    <t>MATCH ID</t>
  </si>
  <si>
    <t>MATCH INFO</t>
  </si>
  <si>
    <t>ROUND DATA</t>
  </si>
  <si>
    <t>ROUNDDATA GETS ADDED TO MATCHDATA FILE</t>
  </si>
  <si>
    <t>HEATMAP DATA WILL BE TAGGED WITH MATCH ID</t>
  </si>
  <si>
    <t>ALLOWS FOR FILTERING OF HEATMAP DATA</t>
  </si>
  <si>
    <t>PLAYERNAME</t>
  </si>
  <si>
    <t>K1PLAYER</t>
  </si>
  <si>
    <t>K1TIME</t>
  </si>
  <si>
    <t>K2PLAYER</t>
  </si>
  <si>
    <t>K2TIME</t>
  </si>
  <si>
    <t>K3PLAYER</t>
  </si>
  <si>
    <t>K3TIME</t>
  </si>
  <si>
    <t>K4PLAYER</t>
  </si>
  <si>
    <t>K4TIME</t>
  </si>
  <si>
    <t>K5PLAYER</t>
  </si>
  <si>
    <t>K5TIME</t>
  </si>
  <si>
    <t>KEYMAPCONTROLLOST</t>
  </si>
  <si>
    <t>US</t>
  </si>
  <si>
    <t>OPERATOR</t>
  </si>
  <si>
    <t>OBJECTIVE</t>
  </si>
  <si>
    <t>UNKNOWN</t>
  </si>
  <si>
    <t>MATCHID</t>
  </si>
  <si>
    <t>TEAMKILL</t>
  </si>
  <si>
    <t>O1</t>
  </si>
  <si>
    <t>O2</t>
  </si>
  <si>
    <t>O3</t>
  </si>
  <si>
    <t>O4</t>
  </si>
  <si>
    <t>O5</t>
  </si>
  <si>
    <t>ATKBAN</t>
  </si>
  <si>
    <t>DEFBAN</t>
  </si>
  <si>
    <t>OATKBAN</t>
  </si>
  <si>
    <t>ODEFBAN</t>
  </si>
  <si>
    <t>LEAUGE</t>
  </si>
  <si>
    <t>HS</t>
  </si>
  <si>
    <t>REFRAG</t>
  </si>
  <si>
    <t>UKILL</t>
  </si>
  <si>
    <t>CODE</t>
  </si>
  <si>
    <t>OPENINGTEAMKILL</t>
  </si>
  <si>
    <t>POCKET1</t>
  </si>
  <si>
    <t>POCKET2</t>
  </si>
  <si>
    <t>POCKET3</t>
  </si>
  <si>
    <t>POCKET4</t>
  </si>
  <si>
    <t>POCKET5</t>
  </si>
  <si>
    <t>DRONESTATS</t>
  </si>
  <si>
    <t>ZPINGSTATS</t>
  </si>
  <si>
    <t>DRONE DEATH TIMES</t>
  </si>
  <si>
    <t>DRONE DEATH STATS</t>
  </si>
  <si>
    <t>HEATMAPS</t>
  </si>
  <si>
    <t>TODO: test 5v# thrown</t>
  </si>
  <si>
    <t>SHEETS TO PULL</t>
  </si>
  <si>
    <t>PLAYED</t>
  </si>
  <si>
    <t>Sens</t>
  </si>
  <si>
    <t>Grim</t>
  </si>
  <si>
    <t>REF!M3:M35</t>
  </si>
  <si>
    <t>1:00</t>
  </si>
  <si>
    <t>Attack</t>
  </si>
  <si>
    <t>Lost</t>
  </si>
  <si>
    <t>Won</t>
  </si>
  <si>
    <t>DAL</t>
  </si>
  <si>
    <t>Hiperzz</t>
  </si>
  <si>
    <t>Lakqi</t>
  </si>
  <si>
    <t>Rye</t>
  </si>
  <si>
    <t>Saryz</t>
  </si>
  <si>
    <t>Candle</t>
  </si>
  <si>
    <t>Chos3n</t>
  </si>
  <si>
    <t>Ozone</t>
  </si>
  <si>
    <t>Krypticz</t>
  </si>
  <si>
    <t>Aggro</t>
  </si>
  <si>
    <t>Hox</t>
  </si>
  <si>
    <t>1:51</t>
  </si>
  <si>
    <t>0:48</t>
  </si>
  <si>
    <t>1:56</t>
  </si>
  <si>
    <t>1:33</t>
  </si>
  <si>
    <t>0:34</t>
  </si>
  <si>
    <t>1:45</t>
  </si>
  <si>
    <t>2:26</t>
  </si>
  <si>
    <t>0:13</t>
  </si>
  <si>
    <t>0:26</t>
  </si>
  <si>
    <t>2:14</t>
  </si>
  <si>
    <t>0:10</t>
  </si>
  <si>
    <t>1:34</t>
  </si>
  <si>
    <t>1:43</t>
  </si>
  <si>
    <t>0:31</t>
  </si>
  <si>
    <t>1:31</t>
  </si>
  <si>
    <t>0:12</t>
  </si>
  <si>
    <t>0:53</t>
  </si>
  <si>
    <t>2:03</t>
  </si>
  <si>
    <t>0:00</t>
  </si>
  <si>
    <t>0:21</t>
  </si>
  <si>
    <t>0:03</t>
  </si>
  <si>
    <t>2:44</t>
  </si>
  <si>
    <t>1:27</t>
  </si>
  <si>
    <t>2:11</t>
  </si>
  <si>
    <t>1:06</t>
  </si>
  <si>
    <t>1:55</t>
  </si>
  <si>
    <t>0:38</t>
  </si>
  <si>
    <t>0:28</t>
  </si>
  <si>
    <t>0:22</t>
  </si>
  <si>
    <t>Defense</t>
  </si>
  <si>
    <t>Jackal</t>
  </si>
  <si>
    <t>ROUND_1</t>
  </si>
  <si>
    <t>ROUND_2</t>
  </si>
  <si>
    <t>ROUND_3</t>
  </si>
  <si>
    <t>HS5</t>
  </si>
  <si>
    <t>ZPING5</t>
  </si>
  <si>
    <t>REFRAG5</t>
  </si>
  <si>
    <t>UKILL5</t>
  </si>
  <si>
    <t>REFRAG4</t>
  </si>
  <si>
    <t>HS4</t>
  </si>
  <si>
    <t>ZPING4</t>
  </si>
  <si>
    <t>UKILL4</t>
  </si>
  <si>
    <t>REFRAG3</t>
  </si>
  <si>
    <t>HS3</t>
  </si>
  <si>
    <t>ZPING3</t>
  </si>
  <si>
    <t>UKILL3</t>
  </si>
  <si>
    <t>REFRAG2</t>
  </si>
  <si>
    <t>HS2</t>
  </si>
  <si>
    <t>ZPING2</t>
  </si>
  <si>
    <t>UKILL2</t>
  </si>
  <si>
    <t>Floofs</t>
  </si>
  <si>
    <t>Kouiyn</t>
  </si>
  <si>
    <t>Snipey</t>
  </si>
  <si>
    <t>Rival</t>
  </si>
  <si>
    <t>Kiru</t>
  </si>
  <si>
    <t>0:57</t>
  </si>
  <si>
    <t>2:19</t>
  </si>
  <si>
    <t>0:33</t>
  </si>
  <si>
    <t>2:05</t>
  </si>
  <si>
    <t>1:04</t>
  </si>
  <si>
    <t>0:19</t>
  </si>
  <si>
    <t>1:21</t>
  </si>
  <si>
    <t>0:51</t>
  </si>
  <si>
    <t>2:22</t>
  </si>
  <si>
    <t>1:10</t>
  </si>
  <si>
    <t>1:35</t>
  </si>
  <si>
    <t>0:29</t>
  </si>
  <si>
    <t>0:25</t>
  </si>
  <si>
    <t>0:04</t>
  </si>
  <si>
    <t>2:49</t>
  </si>
  <si>
    <t>1:40</t>
  </si>
  <si>
    <t>0:39</t>
  </si>
  <si>
    <t>0:36</t>
  </si>
  <si>
    <t>1:11</t>
  </si>
  <si>
    <t>1:07</t>
  </si>
  <si>
    <t>1:15</t>
  </si>
  <si>
    <t>0:41</t>
  </si>
  <si>
    <t>2:10</t>
  </si>
  <si>
    <t>0:23</t>
  </si>
  <si>
    <t>1:54</t>
  </si>
  <si>
    <t>1:48</t>
  </si>
  <si>
    <t>0:58</t>
  </si>
  <si>
    <t>1:46</t>
  </si>
  <si>
    <t>0:27</t>
  </si>
  <si>
    <t>Montagne</t>
  </si>
  <si>
    <t>Homeland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</si>
</sst>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mmdd"/>
  </numFmts>
  <fonts count="11" x14ac:knownFonts="1">
    <font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8"/>
      <name val="Calibri"/>
      <family val="2"/>
      <scheme val="minor"/>
    </font>
    <font>
      <sz val="10"/>
      <color rgb="FF0000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0" fillId="0" borderId="0"/>
  </cellStyleXfs>
  <cellXfs count="60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0" fontId="0" fillId="6" borderId="1" xfId="0" applyFill="1" applyBorder="1"/>
    <xf numFmtId="0" fontId="0" fillId="7" borderId="1" xfId="0" applyFill="1" applyBorder="1"/>
    <xf numFmtId="0" fontId="0" fillId="8" borderId="0" xfId="0" applyFill="1"/>
    <xf numFmtId="0" fontId="0" fillId="8" borderId="1" xfId="0" applyFill="1" applyBorder="1"/>
    <xf numFmtId="0" fontId="0" fillId="9" borderId="1" xfId="0" applyFill="1" applyBorder="1"/>
    <xf numFmtId="0" fontId="0" fillId="10" borderId="1" xfId="0" applyFill="1" applyBorder="1"/>
    <xf numFmtId="0" fontId="2" fillId="12" borderId="1" xfId="0" applyFont="1" applyFill="1" applyBorder="1"/>
    <xf numFmtId="0" fontId="0" fillId="13" borderId="1" xfId="0" applyFill="1" applyBorder="1"/>
    <xf numFmtId="0" fontId="0" fillId="14" borderId="1" xfId="0" applyFill="1" applyBorder="1"/>
    <xf numFmtId="0" fontId="0" fillId="15" borderId="1" xfId="0" applyFill="1" applyBorder="1"/>
    <xf numFmtId="0" fontId="0" fillId="11" borderId="1" xfId="0" applyFill="1" applyBorder="1"/>
    <xf numFmtId="0" fontId="0" fillId="14" borderId="0" xfId="0" applyFill="1"/>
    <xf numFmtId="0" fontId="0" fillId="16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9" borderId="1" xfId="0" applyFill="1" applyBorder="1"/>
    <xf numFmtId="0" fontId="0" fillId="20" borderId="1" xfId="0" applyFill="1" applyBorder="1"/>
    <xf numFmtId="0" fontId="0" fillId="22" borderId="0" xfId="0" applyFill="1"/>
    <xf numFmtId="0" fontId="3" fillId="2" borderId="0" xfId="0" applyFont="1" applyFill="1"/>
    <xf numFmtId="0" fontId="3" fillId="18" borderId="0" xfId="0" applyFont="1" applyFill="1"/>
    <xf numFmtId="0" fontId="0" fillId="18" borderId="0" xfId="0" applyFill="1"/>
    <xf numFmtId="0" fontId="0" fillId="2" borderId="0" xfId="0" applyFill="1"/>
    <xf numFmtId="0" fontId="0" fillId="23" borderId="0" xfId="0" applyFill="1"/>
    <xf numFmtId="0" fontId="3" fillId="24" borderId="0" xfId="0" applyFont="1" applyFill="1"/>
    <xf numFmtId="0" fontId="3" fillId="14" borderId="0" xfId="0" applyFont="1" applyFill="1"/>
    <xf numFmtId="0" fontId="3" fillId="25" borderId="0" xfId="0" applyFont="1" applyFill="1"/>
    <xf numFmtId="0" fontId="0" fillId="26" borderId="0" xfId="0" applyFill="1"/>
    <xf numFmtId="0" fontId="2" fillId="8" borderId="1" xfId="0" applyFont="1" applyFill="1" applyBorder="1"/>
    <xf numFmtId="0" fontId="0" fillId="24" borderId="1" xfId="0" applyFill="1" applyBorder="1"/>
    <xf numFmtId="0" fontId="0" fillId="5" borderId="0" xfId="0" applyFill="1"/>
    <xf numFmtId="0" fontId="0" fillId="21" borderId="1" xfId="0" applyFill="1" applyBorder="1"/>
    <xf numFmtId="0" fontId="0" fillId="22" borderId="1" xfId="0" applyFill="1" applyBorder="1"/>
    <xf numFmtId="0" fontId="0" fillId="23" borderId="1" xfId="0" applyFill="1" applyBorder="1"/>
    <xf numFmtId="0" fontId="0" fillId="27" borderId="1" xfId="0" applyFill="1" applyBorder="1"/>
    <xf numFmtId="0" fontId="0" fillId="28" borderId="0" xfId="0" applyFill="1"/>
    <xf numFmtId="0" fontId="0" fillId="21" borderId="0" xfId="0" applyFill="1"/>
    <xf numFmtId="0" fontId="0" fillId="9" borderId="0" xfId="0" applyFill="1"/>
    <xf numFmtId="49" fontId="0" fillId="23" borderId="1" xfId="0" applyNumberFormat="1" applyFill="1" applyBorder="1"/>
    <xf numFmtId="49" fontId="0" fillId="27" borderId="1" xfId="0" applyNumberFormat="1" applyFill="1" applyBorder="1"/>
    <xf numFmtId="49" fontId="0" fillId="14" borderId="1" xfId="0" applyNumberFormat="1" applyFill="1" applyBorder="1"/>
    <xf numFmtId="49" fontId="0" fillId="15" borderId="1" xfId="0" applyNumberFormat="1" applyFill="1" applyBorder="1"/>
    <xf numFmtId="0" fontId="0" fillId="29" borderId="0" xfId="0" applyFill="1"/>
    <xf numFmtId="0" fontId="0" fillId="19" borderId="0" xfId="0" applyFill="1"/>
    <xf numFmtId="0" fontId="0" fillId="19" borderId="2" xfId="0" applyFill="1" applyBorder="1"/>
    <xf numFmtId="0" fontId="0" fillId="19" borderId="3" xfId="0" applyFill="1" applyBorder="1"/>
    <xf numFmtId="0" fontId="0" fillId="11" borderId="3" xfId="0" applyFill="1" applyBorder="1"/>
    <xf numFmtId="0" fontId="4" fillId="0" borderId="1" xfId="0" applyFont="1" applyBorder="1"/>
    <xf numFmtId="0" fontId="0" fillId="13" borderId="3" xfId="0" applyFill="1" applyBorder="1"/>
    <xf numFmtId="0" fontId="0" fillId="13" borderId="2" xfId="0" applyFill="1" applyBorder="1"/>
    <xf numFmtId="164" fontId="0" fillId="0" borderId="0" xfId="0" applyNumberFormat="1"/>
    <xf numFmtId="14" fontId="0" fillId="0" borderId="1" xfId="0" applyNumberFormat="1" applyBorder="1"/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center"/>
    </xf>
  </cellXfs>
  <cellStyles count="2">
    <cellStyle name="Normal" xfId="0" builtinId="0"/>
    <cellStyle name="Normal 2" xfId="1" xr:uid="{76500F39-1C6D-4D4C-A016-928E8FEE2C3C}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B74D33-3B39-4CD5-8248-4AD43E8BCBE6}">
  <sheetPr codeName="Sheet3"/>
  <dimension ref="A1:GG611"/>
  <sheetViews>
    <sheetView tabSelected="1" zoomScale="85" zoomScaleNormal="85" workbookViewId="0">
      <selection activeCell="E3" sqref="E3"/>
    </sheetView>
  </sheetViews>
  <sheetFormatPr defaultRowHeight="15" x14ac:dyDescent="0.25"/>
  <cols>
    <col min="2" max="2" width="11.5703125" bestFit="1" customWidth="1"/>
    <col min="4" max="4" width="9.42578125" customWidth="1"/>
    <col min="5" max="5" width="9.85546875" bestFit="1" customWidth="1"/>
    <col min="146" max="146" width="9.140625" customWidth="1"/>
    <col min="171" max="171" width="9.140625" customWidth="1"/>
  </cols>
  <sheetData>
    <row r="1" spans="1:189" x14ac:dyDescent="0.25">
      <c r="A1" s="13" t="s">
        <v>341</v>
      </c>
      <c r="B1" s="10" t="s">
        <v>276</v>
      </c>
      <c r="C1" s="5" t="s">
        <v>2</v>
      </c>
      <c r="D1" s="21" t="s">
        <v>3</v>
      </c>
      <c r="E1" s="11" t="s">
        <v>1</v>
      </c>
      <c r="F1" s="9" t="s">
        <v>6</v>
      </c>
      <c r="G1" s="18" t="s">
        <v>7</v>
      </c>
      <c r="H1" s="9" t="s">
        <v>4</v>
      </c>
      <c r="I1" s="18" t="s">
        <v>5</v>
      </c>
      <c r="K1" s="10" t="s">
        <v>22</v>
      </c>
      <c r="L1" s="11" t="s">
        <v>23</v>
      </c>
      <c r="N1" s="10" t="s">
        <v>322</v>
      </c>
      <c r="O1" s="11" t="s">
        <v>23</v>
      </c>
      <c r="Q1" s="10" t="s">
        <v>52</v>
      </c>
      <c r="R1" s="22" t="s">
        <v>53</v>
      </c>
      <c r="T1" s="21" t="s">
        <v>348</v>
      </c>
      <c r="U1" s="9" t="s">
        <v>349</v>
      </c>
      <c r="V1" s="20" t="s">
        <v>350</v>
      </c>
      <c r="W1" s="13" t="s">
        <v>239</v>
      </c>
    </row>
    <row r="2" spans="1:189" x14ac:dyDescent="0.25">
      <c r="A2" s="1" t="str" cm="1">
        <f t="array" aca="1" ref="A2" ca="1">MID(CELL("filename",B1),FIND("]",CELL("filename",B1))+1,255)</f>
        <v>8_22 Skyscraper_1</v>
      </c>
      <c r="B2" s="1" t="s">
        <v>363</v>
      </c>
      <c r="C2" s="1" t="s">
        <v>160</v>
      </c>
      <c r="D2" s="1" t="s">
        <v>459</v>
      </c>
      <c r="E2" s="56">
        <v>44795</v>
      </c>
      <c r="F2" s="1" t="s">
        <v>128</v>
      </c>
      <c r="G2" s="1" t="s">
        <v>123</v>
      </c>
      <c r="H2" s="1" t="s">
        <v>86</v>
      </c>
      <c r="I2" s="1" t="s">
        <v>117</v>
      </c>
      <c r="K2" s="15" t="s">
        <v>24</v>
      </c>
      <c r="L2" s="1" t="s">
        <v>365</v>
      </c>
      <c r="N2" s="15" t="s">
        <v>0</v>
      </c>
      <c r="O2" s="1" t="s">
        <v>368</v>
      </c>
      <c r="Q2" s="1">
        <v>3</v>
      </c>
      <c r="R2" s="1">
        <v>10</v>
      </c>
      <c r="T2" s="1" t="b">
        <v>0</v>
      </c>
      <c r="U2" s="1" t="b">
        <v>1</v>
      </c>
      <c r="V2" s="1" t="b">
        <v>1</v>
      </c>
      <c r="W2" s="1" t="b">
        <v>0</v>
      </c>
      <c r="AB2" s="57" t="s">
        <v>67</v>
      </c>
      <c r="AC2" s="57"/>
      <c r="AD2" s="57"/>
      <c r="DQ2" s="57" t="s">
        <v>80</v>
      </c>
      <c r="DR2" s="57"/>
      <c r="DS2" s="57"/>
      <c r="DT2" s="57"/>
    </row>
    <row r="3" spans="1:189" ht="15" customHeight="1" x14ac:dyDescent="0.25">
      <c r="K3" s="14" t="s">
        <v>25</v>
      </c>
      <c r="L3" s="1" t="s">
        <v>367</v>
      </c>
      <c r="N3" s="14" t="s">
        <v>13</v>
      </c>
      <c r="O3" s="1" t="s">
        <v>369</v>
      </c>
      <c r="AB3" s="57"/>
      <c r="AC3" s="57"/>
      <c r="AD3" s="57"/>
      <c r="DQ3" s="57"/>
      <c r="DR3" s="57"/>
      <c r="DS3" s="57"/>
      <c r="DT3" s="57"/>
    </row>
    <row r="4" spans="1:189" ht="15" customHeight="1" x14ac:dyDescent="0.25">
      <c r="A4" s="57" t="s">
        <v>8</v>
      </c>
      <c r="B4" s="57"/>
      <c r="C4" s="57"/>
      <c r="D4" s="57"/>
      <c r="K4" s="15" t="s">
        <v>26</v>
      </c>
      <c r="L4" s="1" t="s">
        <v>373</v>
      </c>
      <c r="N4" s="15" t="s">
        <v>14</v>
      </c>
      <c r="O4" s="1" t="s">
        <v>370</v>
      </c>
    </row>
    <row r="5" spans="1:189" x14ac:dyDescent="0.25">
      <c r="A5" s="57"/>
      <c r="B5" s="57"/>
      <c r="C5" s="57"/>
      <c r="D5" s="57"/>
      <c r="K5" s="14" t="s">
        <v>27</v>
      </c>
      <c r="L5" s="1" t="s">
        <v>366</v>
      </c>
      <c r="N5" s="14" t="s">
        <v>15</v>
      </c>
      <c r="O5" s="1" t="s">
        <v>371</v>
      </c>
    </row>
    <row r="6" spans="1:189" ht="14.25" customHeight="1" x14ac:dyDescent="0.25">
      <c r="K6" s="15" t="s">
        <v>28</v>
      </c>
      <c r="L6" s="1" t="s">
        <v>364</v>
      </c>
      <c r="N6" s="15" t="s">
        <v>16</v>
      </c>
      <c r="O6" s="1" t="s">
        <v>372</v>
      </c>
      <c r="AA6" s="19" t="s">
        <v>18</v>
      </c>
      <c r="AB6" s="11" t="str">
        <f>O2</f>
        <v>Candle</v>
      </c>
      <c r="AC6" s="3" t="s">
        <v>69</v>
      </c>
      <c r="AD6" s="10" t="s">
        <v>295</v>
      </c>
      <c r="AE6" s="7" t="s">
        <v>62</v>
      </c>
      <c r="AF6" s="3" t="s">
        <v>70</v>
      </c>
      <c r="AG6" s="7" t="s">
        <v>68</v>
      </c>
      <c r="AH6" s="3" t="s">
        <v>34</v>
      </c>
      <c r="AJ6" s="9" t="str">
        <f>$O$3</f>
        <v>Chos3n</v>
      </c>
      <c r="AK6" s="3" t="s">
        <v>69</v>
      </c>
      <c r="AL6" s="10" t="s">
        <v>295</v>
      </c>
      <c r="AM6" s="7" t="s">
        <v>62</v>
      </c>
      <c r="AN6" s="3" t="s">
        <v>70</v>
      </c>
      <c r="AO6" s="7" t="s">
        <v>68</v>
      </c>
      <c r="AP6" s="3" t="s">
        <v>34</v>
      </c>
      <c r="AR6" s="7" t="str">
        <f>$O$4</f>
        <v>Ozone</v>
      </c>
      <c r="AS6" s="3" t="s">
        <v>69</v>
      </c>
      <c r="AT6" s="10" t="s">
        <v>295</v>
      </c>
      <c r="AU6" s="7" t="s">
        <v>62</v>
      </c>
      <c r="AV6" s="3" t="s">
        <v>70</v>
      </c>
      <c r="AW6" s="7" t="s">
        <v>68</v>
      </c>
      <c r="AX6" s="3" t="s">
        <v>34</v>
      </c>
      <c r="AZ6" s="10" t="str">
        <f>$O$5</f>
        <v>Krypticz</v>
      </c>
      <c r="BA6" s="3" t="s">
        <v>69</v>
      </c>
      <c r="BB6" s="10" t="s">
        <v>295</v>
      </c>
      <c r="BC6" s="7" t="s">
        <v>62</v>
      </c>
      <c r="BD6" s="3" t="s">
        <v>70</v>
      </c>
      <c r="BE6" s="7" t="s">
        <v>68</v>
      </c>
      <c r="BF6" s="3" t="s">
        <v>34</v>
      </c>
      <c r="BH6" s="13" t="str">
        <f>$O$6</f>
        <v>Aggro</v>
      </c>
      <c r="BI6" s="3" t="s">
        <v>69</v>
      </c>
      <c r="BJ6" s="10" t="s">
        <v>295</v>
      </c>
      <c r="BK6" s="7" t="s">
        <v>62</v>
      </c>
      <c r="BL6" s="3" t="s">
        <v>70</v>
      </c>
      <c r="BM6" s="7" t="s">
        <v>68</v>
      </c>
      <c r="BN6" s="3" t="s">
        <v>34</v>
      </c>
      <c r="BP6" s="19" t="s">
        <v>9</v>
      </c>
      <c r="BQ6" s="16" t="s">
        <v>46</v>
      </c>
      <c r="BR6" s="7" t="s">
        <v>71</v>
      </c>
      <c r="BS6" s="3" t="s">
        <v>72</v>
      </c>
      <c r="BT6" s="10" t="s">
        <v>295</v>
      </c>
      <c r="BU6" s="7" t="s">
        <v>73</v>
      </c>
      <c r="BV6" s="3" t="s">
        <v>74</v>
      </c>
      <c r="BW6" s="7" t="s">
        <v>75</v>
      </c>
      <c r="BX6" s="3" t="s">
        <v>41</v>
      </c>
      <c r="BY6" s="7" t="s">
        <v>338</v>
      </c>
      <c r="BZ6" s="16" t="s">
        <v>46</v>
      </c>
      <c r="CA6" s="7" t="s">
        <v>79</v>
      </c>
      <c r="CB6" s="3" t="s">
        <v>72</v>
      </c>
      <c r="CC6" s="10" t="s">
        <v>295</v>
      </c>
      <c r="CD6" s="7" t="s">
        <v>73</v>
      </c>
      <c r="CE6" s="3" t="s">
        <v>74</v>
      </c>
      <c r="CF6" s="7" t="s">
        <v>75</v>
      </c>
      <c r="CG6" s="3" t="s">
        <v>41</v>
      </c>
      <c r="CH6" s="7" t="s">
        <v>338</v>
      </c>
      <c r="CI6" s="16" t="s">
        <v>46</v>
      </c>
      <c r="CJ6" s="7" t="s">
        <v>78</v>
      </c>
      <c r="CK6" s="3" t="s">
        <v>72</v>
      </c>
      <c r="CL6" s="10" t="s">
        <v>295</v>
      </c>
      <c r="CM6" s="7" t="s">
        <v>73</v>
      </c>
      <c r="CN6" s="3" t="s">
        <v>74</v>
      </c>
      <c r="CO6" s="7" t="s">
        <v>75</v>
      </c>
      <c r="CP6" s="3" t="s">
        <v>41</v>
      </c>
      <c r="CQ6" s="7" t="s">
        <v>338</v>
      </c>
      <c r="CR6" s="16" t="s">
        <v>46</v>
      </c>
      <c r="CS6" s="7" t="s">
        <v>77</v>
      </c>
      <c r="CT6" s="3" t="s">
        <v>72</v>
      </c>
      <c r="CU6" s="10" t="s">
        <v>295</v>
      </c>
      <c r="CV6" s="7" t="s">
        <v>73</v>
      </c>
      <c r="CW6" s="3" t="s">
        <v>74</v>
      </c>
      <c r="CX6" s="7" t="s">
        <v>75</v>
      </c>
      <c r="CY6" s="3" t="s">
        <v>41</v>
      </c>
      <c r="CZ6" s="7" t="s">
        <v>338</v>
      </c>
      <c r="DA6" s="16" t="s">
        <v>46</v>
      </c>
      <c r="DB6" s="7" t="s">
        <v>76</v>
      </c>
      <c r="DC6" s="3" t="s">
        <v>72</v>
      </c>
      <c r="DD6" s="10" t="s">
        <v>295</v>
      </c>
      <c r="DE6" s="7" t="s">
        <v>73</v>
      </c>
      <c r="DF6" s="3" t="s">
        <v>74</v>
      </c>
      <c r="DG6" s="7" t="s">
        <v>75</v>
      </c>
      <c r="DH6" s="3" t="s">
        <v>41</v>
      </c>
      <c r="DI6" s="7" t="s">
        <v>338</v>
      </c>
      <c r="DO6" s="11" t="s">
        <v>81</v>
      </c>
      <c r="DP6" s="36" t="str">
        <f>$O$2</f>
        <v>Candle</v>
      </c>
      <c r="DQ6" s="48" t="s">
        <v>326</v>
      </c>
      <c r="DR6" s="16" t="s">
        <v>46</v>
      </c>
      <c r="DS6" s="9" t="s">
        <v>55</v>
      </c>
      <c r="DT6" s="21" t="s">
        <v>310</v>
      </c>
      <c r="DU6" s="21" t="s">
        <v>323</v>
      </c>
      <c r="DV6" s="21" t="s">
        <v>54</v>
      </c>
      <c r="DW6" s="50" t="s">
        <v>62</v>
      </c>
      <c r="DX6" s="50" t="s">
        <v>219</v>
      </c>
      <c r="DY6" s="50" t="s">
        <v>220</v>
      </c>
      <c r="DZ6" s="50" t="s">
        <v>221</v>
      </c>
      <c r="EA6" s="50" t="s">
        <v>245</v>
      </c>
      <c r="EB6" s="50" t="s">
        <v>257</v>
      </c>
      <c r="EC6" s="50" t="s">
        <v>258</v>
      </c>
      <c r="ED6" s="51" t="s">
        <v>405</v>
      </c>
      <c r="EE6" s="50" t="s">
        <v>9</v>
      </c>
      <c r="EF6" s="50" t="s">
        <v>222</v>
      </c>
      <c r="EG6" s="50" t="s">
        <v>223</v>
      </c>
      <c r="EH6" s="50" t="s">
        <v>246</v>
      </c>
      <c r="EI6" s="50" t="s">
        <v>259</v>
      </c>
      <c r="EJ6" s="50" t="s">
        <v>260</v>
      </c>
      <c r="EK6" s="51" t="s">
        <v>406</v>
      </c>
      <c r="EL6" s="21" t="s">
        <v>324</v>
      </c>
      <c r="EM6" s="50" t="s">
        <v>33</v>
      </c>
      <c r="EN6" s="50" t="s">
        <v>66</v>
      </c>
      <c r="EO6" s="21" t="s">
        <v>35</v>
      </c>
      <c r="EP6" s="13" t="s">
        <v>60</v>
      </c>
      <c r="EQ6" s="13" t="s">
        <v>340</v>
      </c>
      <c r="ER6" s="13" t="s">
        <v>311</v>
      </c>
      <c r="ES6" s="13" t="s">
        <v>312</v>
      </c>
      <c r="ET6" s="13" t="s">
        <v>41</v>
      </c>
      <c r="EU6" s="13" t="s">
        <v>338</v>
      </c>
      <c r="EV6" s="13" t="s">
        <v>339</v>
      </c>
      <c r="EW6" s="21" t="s">
        <v>61</v>
      </c>
      <c r="EX6" s="21" t="s">
        <v>423</v>
      </c>
      <c r="EY6" s="21" t="s">
        <v>313</v>
      </c>
      <c r="EZ6" s="21" t="s">
        <v>314</v>
      </c>
      <c r="FA6" s="21" t="s">
        <v>422</v>
      </c>
      <c r="FB6" s="21" t="s">
        <v>421</v>
      </c>
      <c r="FC6" s="21" t="s">
        <v>420</v>
      </c>
      <c r="FD6" s="13" t="s">
        <v>63</v>
      </c>
      <c r="FE6" s="13" t="s">
        <v>419</v>
      </c>
      <c r="FF6" s="13" t="s">
        <v>315</v>
      </c>
      <c r="FG6" s="13" t="s">
        <v>316</v>
      </c>
      <c r="FH6" s="13" t="s">
        <v>418</v>
      </c>
      <c r="FI6" s="13" t="s">
        <v>417</v>
      </c>
      <c r="FJ6" s="13" t="s">
        <v>416</v>
      </c>
      <c r="FK6" s="21" t="s">
        <v>64</v>
      </c>
      <c r="FL6" s="21" t="s">
        <v>415</v>
      </c>
      <c r="FM6" s="21" t="s">
        <v>317</v>
      </c>
      <c r="FN6" s="21" t="s">
        <v>318</v>
      </c>
      <c r="FO6" s="21" t="s">
        <v>414</v>
      </c>
      <c r="FP6" s="21" t="s">
        <v>413</v>
      </c>
      <c r="FQ6" s="21" t="s">
        <v>412</v>
      </c>
      <c r="FR6" s="13" t="s">
        <v>65</v>
      </c>
      <c r="FS6" s="13" t="s">
        <v>411</v>
      </c>
      <c r="FT6" s="13" t="s">
        <v>319</v>
      </c>
      <c r="FU6" s="13" t="s">
        <v>320</v>
      </c>
      <c r="FV6" s="13" t="s">
        <v>409</v>
      </c>
      <c r="FW6" s="13" t="s">
        <v>408</v>
      </c>
      <c r="FX6" s="13" t="s">
        <v>410</v>
      </c>
      <c r="FY6" s="16" t="s">
        <v>407</v>
      </c>
      <c r="FZ6" s="21" t="s">
        <v>249</v>
      </c>
      <c r="GA6" s="21" t="s">
        <v>250</v>
      </c>
      <c r="GB6" s="21" t="s">
        <v>58</v>
      </c>
      <c r="GC6" s="21" t="s">
        <v>57</v>
      </c>
      <c r="GD6" s="21" t="s">
        <v>42</v>
      </c>
      <c r="GE6" s="21" t="s">
        <v>43</v>
      </c>
      <c r="GF6" s="21" t="s">
        <v>247</v>
      </c>
      <c r="GG6" s="21" t="s">
        <v>248</v>
      </c>
    </row>
    <row r="7" spans="1:189" x14ac:dyDescent="0.25">
      <c r="K7" s="23" t="s">
        <v>325</v>
      </c>
      <c r="L7" s="23" t="s">
        <v>325</v>
      </c>
      <c r="N7" s="23" t="s">
        <v>327</v>
      </c>
      <c r="O7" s="23" t="s">
        <v>327</v>
      </c>
      <c r="AB7" s="5">
        <v>1</v>
      </c>
      <c r="AC7" s="43" t="s">
        <v>388</v>
      </c>
      <c r="AD7" s="1" t="b">
        <v>0</v>
      </c>
      <c r="AE7" s="14" t="s">
        <v>425</v>
      </c>
      <c r="AF7" s="38"/>
      <c r="AG7" s="14"/>
      <c r="AH7" s="38"/>
      <c r="AJ7" s="5">
        <v>1</v>
      </c>
      <c r="AK7" s="43" t="s">
        <v>433</v>
      </c>
      <c r="AL7" s="1" t="b">
        <v>0</v>
      </c>
      <c r="AM7" s="14" t="s">
        <v>425</v>
      </c>
      <c r="AN7" s="38"/>
      <c r="AO7" s="14"/>
      <c r="AP7" s="38"/>
      <c r="AR7" s="5">
        <v>1</v>
      </c>
      <c r="AS7" s="43"/>
      <c r="AT7" s="1" t="b">
        <v>0</v>
      </c>
      <c r="AU7" s="14"/>
      <c r="AV7" s="38"/>
      <c r="AW7" s="14"/>
      <c r="AX7" s="38"/>
      <c r="AZ7" s="5">
        <v>1</v>
      </c>
      <c r="BA7" s="43" t="s">
        <v>440</v>
      </c>
      <c r="BB7" s="1" t="b">
        <v>0</v>
      </c>
      <c r="BC7" s="14" t="s">
        <v>428</v>
      </c>
      <c r="BD7" s="38"/>
      <c r="BE7" s="14"/>
      <c r="BF7" s="38"/>
      <c r="BH7" s="5">
        <v>1</v>
      </c>
      <c r="BI7" s="43"/>
      <c r="BJ7" s="1" t="b">
        <v>0</v>
      </c>
      <c r="BK7" s="14"/>
      <c r="BL7" s="38"/>
      <c r="BM7" s="14"/>
      <c r="BN7" s="38"/>
      <c r="BQ7" s="5">
        <v>1</v>
      </c>
      <c r="BR7" s="14" t="s">
        <v>372</v>
      </c>
      <c r="BS7" s="43" t="s">
        <v>391</v>
      </c>
      <c r="BT7" s="1" t="b">
        <v>0</v>
      </c>
      <c r="BU7" s="14"/>
      <c r="BV7" s="38"/>
      <c r="BW7" s="14" t="s">
        <v>424</v>
      </c>
      <c r="BX7" s="38"/>
      <c r="BY7" s="14" t="b">
        <v>1</v>
      </c>
      <c r="BZ7" s="5">
        <v>1</v>
      </c>
      <c r="CA7" s="14" t="s">
        <v>371</v>
      </c>
      <c r="CB7" s="43" t="s">
        <v>398</v>
      </c>
      <c r="CC7" s="1" t="b">
        <v>0</v>
      </c>
      <c r="CD7" s="14"/>
      <c r="CE7" s="38"/>
      <c r="CF7" s="14" t="s">
        <v>426</v>
      </c>
      <c r="CG7" s="38"/>
      <c r="CH7" s="14"/>
      <c r="CI7" s="5">
        <v>1</v>
      </c>
      <c r="CJ7" s="14" t="s">
        <v>368</v>
      </c>
      <c r="CK7" s="43" t="s">
        <v>433</v>
      </c>
      <c r="CL7" s="1" t="b">
        <v>0</v>
      </c>
      <c r="CM7" s="14"/>
      <c r="CN7" s="38"/>
      <c r="CO7" s="14" t="s">
        <v>425</v>
      </c>
      <c r="CP7" s="38"/>
      <c r="CQ7" s="14"/>
      <c r="CR7" s="5">
        <v>1</v>
      </c>
      <c r="CS7" s="14" t="s">
        <v>368</v>
      </c>
      <c r="CT7" s="43" t="s">
        <v>387</v>
      </c>
      <c r="CU7" s="1" t="b">
        <v>0</v>
      </c>
      <c r="CV7" s="14"/>
      <c r="CW7" s="38"/>
      <c r="CX7" s="14" t="s">
        <v>427</v>
      </c>
      <c r="CY7" s="38"/>
      <c r="CZ7" s="14" t="b">
        <v>1</v>
      </c>
      <c r="DA7" s="5">
        <v>1</v>
      </c>
      <c r="DB7" s="14" t="s">
        <v>368</v>
      </c>
      <c r="DC7" s="43" t="s">
        <v>440</v>
      </c>
      <c r="DD7" s="1" t="b">
        <v>0</v>
      </c>
      <c r="DE7" s="14"/>
      <c r="DF7" s="38"/>
      <c r="DG7" s="14" t="s">
        <v>428</v>
      </c>
      <c r="DH7" s="38"/>
      <c r="DI7" s="14" t="b">
        <v>1</v>
      </c>
      <c r="DP7" s="37"/>
      <c r="DQ7" s="48" t="str">
        <f ca="1">A2</f>
        <v>8_22 Skyscraper_1</v>
      </c>
      <c r="DR7" s="5">
        <v>1</v>
      </c>
      <c r="DS7" s="1" t="str" cm="1">
        <f t="array" ref="DS7:DS21">IF($CH$25:$CH$39=0,"Not Played", $CH$25:$CH$39)</f>
        <v>Attack</v>
      </c>
      <c r="DT7" s="1" t="str">
        <f>$O$2</f>
        <v>Candle</v>
      </c>
      <c r="DU7" s="1" t="str" cm="1">
        <f t="array" ref="DU7:DU21">IF($CP$25:$CP39=0,"Not Played",$CP$25:$CP$39)</f>
        <v>Nokk</v>
      </c>
      <c r="DV7" s="21" cm="1">
        <f t="array" ref="DV7">ConvertToRoundTime(secandmin(AC7),secandmin(CJ25),AD7)</f>
        <v>89</v>
      </c>
      <c r="DW7" s="1" t="str" cm="1">
        <f t="array" ref="DW7:DW21">IF($AE$7:$AE$21=0,FALSE,$AE$7:$AE$21)</f>
        <v>Kouiyn</v>
      </c>
      <c r="DX7" s="1" t="b" cm="1">
        <f t="array" ref="DX7">DeathRefragged(DV7,MAX(ES7,ES23,ES39,ES55,ES71,FA88),MAX(EZ7,EZ23,EZ39,EZ55,EZ71,FI88),MAX(FG7,FG23,FG39,FG55,FG71,FP88),MAX(FN7,FN23,FN39,FN55,FN71,FW88),MAX(FU7,FU23,FU39,FU55,FU71,GD88),$Q$2)</f>
        <v>0</v>
      </c>
      <c r="DY7" s="1" t="b" cm="1">
        <f t="array" ref="DY7">DeathTraded(DV7,DW7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1</v>
      </c>
      <c r="DZ7" s="1" t="b" cm="1">
        <f t="array" ref="DZ7:DZ21">IF($AG$7:$AG$21=0,FALSE,$AG$7:$AG21)</f>
        <v>0</v>
      </c>
      <c r="EA7" s="1" t="str" cm="1">
        <f t="array" ref="EA7:EA21">IF($AF$7:$AF$21=0,"NOLOC",$AF$7:$AF$21)</f>
        <v>NOLOC</v>
      </c>
      <c r="EB7" s="1" t="b" cm="1">
        <f t="array" ref="EB7">OpeningDeath(MAX(ES7,ES23,ES39,ES55,ES71),DV7,DV23,DV39,DV55,DV71)</f>
        <v>0</v>
      </c>
      <c r="EC7" s="1" t="b" cm="1">
        <f t="array" ref="EC7">EntryDeath(DV7,DV23,DV39,DV55,DV71)</f>
        <v>1</v>
      </c>
      <c r="ED7" s="5">
        <v>1</v>
      </c>
      <c r="EE7" s="1">
        <f>SUM(IF(ES7=FALSE,0,1),IF(EZ7=FALSE,0,1),IF(FG7=FALSE,0,1),IF(FN7=FALSE,0,1),IF(FU7=FALSE,0,1))</f>
        <v>3</v>
      </c>
      <c r="EF7" s="1">
        <f>SUM(IF(EU7=TRUE,1,0),IF(FI7=TRUE,1,0),IF(FP7=TRUE,1,0),IF(FW7=TRUE,1,0),IF(FB7=TRUE,1,0))</f>
        <v>2</v>
      </c>
      <c r="EG7" s="1">
        <f>SUM(IF(EQ7=TRUE,1,0),IF(FE7=TRUE,1,0),IF(FL7=TRUE,1,0),IF(FS7=TRUE,1,0),IF(EX7=TRUE,1,0))</f>
        <v>0</v>
      </c>
      <c r="EH7" s="1" cm="1">
        <f t="array" ref="EH7">ExitFrag(EN7,MAX(DV23,DV39,DV55,DV71),MAX(ES7,ES23,ES39,ES55,ES71,FA88),MAX(EZ7,EZ23,EZ39,EZ55,EZ71,FI88),MAX(FG7,FG23,FG39,FG55,FG71,FP88),MAX(FN7,FN23,FN39,FN55,FN71,FW88),MAX(FU7,FU23,FU39,FU55,FU71,GD88))</f>
        <v>0</v>
      </c>
      <c r="EI7" s="1" t="b" cm="1">
        <f t="array" ref="EI7">OpeningKill(ES7,ES23,ES39,ES55,ES71,FB88,DV7,DV23,DV39,DV55,DV71)</f>
        <v>0</v>
      </c>
      <c r="EJ7" s="1" t="b">
        <f>IF(ES7=FALSE,FALSE,TRUE)</f>
        <v>0</v>
      </c>
      <c r="EK7" s="5">
        <v>1</v>
      </c>
      <c r="EL7" s="1" t="b" cm="1">
        <f t="array" ref="EL7:EL21">IF($AH$7:$AH$21=0,FALSE,$AH$7:$AH21)</f>
        <v>0</v>
      </c>
      <c r="EM7" s="1" t="b" cm="1">
        <f t="array" ref="EM7">IF(NOT(ISBLANK(CP25)),KOST(EE7,DY7,DV7,EL7),"NOT PLAYED")</f>
        <v>1</v>
      </c>
      <c r="EN7" s="1" t="b" cm="1">
        <f t="array" ref="EN7">OneVX(DV23,DV39,DV55,DV71,DV7)</f>
        <v>0</v>
      </c>
      <c r="EO7" s="1" t="b">
        <f>IF(AND(EN7=TRUE,CM25="Won"),TRUE,FALSE)</f>
        <v>0</v>
      </c>
      <c r="EP7" s="1" t="str" cm="1">
        <f t="array" ref="EP7:EU7">DetermineKill(ConvertToRoundTime(secandmin(BS7),secandmin(CJ25),BT7),BR7,BV7,BW7,BU7,BY7,BX7,$O$2)</f>
        <v>NOLOC</v>
      </c>
      <c r="EQ7" s="1" t="b">
        <v>0</v>
      </c>
      <c r="ER7" s="1" t="b">
        <v>0</v>
      </c>
      <c r="ES7" s="1" t="b">
        <v>0</v>
      </c>
      <c r="ET7" s="1" t="b">
        <v>0</v>
      </c>
      <c r="EU7" s="1" t="b">
        <v>0</v>
      </c>
      <c r="EV7" s="1" t="str" cm="1">
        <f t="array" ref="EV7">DeathTraded(ES7,$O$2,DV7,$O$2,DV23,$O$3,DV39,$O$4,DV55,$O$5,DV71,$O$6,$R$2)</f>
        <v>N/A</v>
      </c>
      <c r="EW7" s="1" t="str" cm="1">
        <f t="array" ref="EW7:FB7">DetermineKill(ConvertToRoundTime(secandmin(CB7),secandmin(CJ25),CC7),CA7,CE7,CF7,CD7,CH7,CG7,$O$2)</f>
        <v>NOLOC</v>
      </c>
      <c r="EX7" s="1" t="b">
        <v>0</v>
      </c>
      <c r="EY7" s="1" t="b">
        <v>0</v>
      </c>
      <c r="EZ7" s="1" t="b">
        <v>0</v>
      </c>
      <c r="FA7" s="1" t="b">
        <v>0</v>
      </c>
      <c r="FB7" s="1" t="b">
        <v>0</v>
      </c>
      <c r="FC7" s="1" t="str" cm="1">
        <f t="array" ref="FC7">DeathTraded(EZ7,$O$2,DV7,$O$2,DV23,$O$3,DV39,$O$4,DV55,$O$5,DV71,$O$6,$R$2)</f>
        <v>N/A</v>
      </c>
      <c r="FD7" s="1" t="str" cm="1">
        <f t="array" ref="FD7:FI7">DetermineKill(ConvertToRoundTime(secandmin(CK7),secandmin(CJ25),CL7),CJ7,CN7,CO7,CM7,CQ7,CP7,$O$2)</f>
        <v>UNKNOWN</v>
      </c>
      <c r="FE7" s="1" t="b">
        <v>0</v>
      </c>
      <c r="FF7" s="1" t="str">
        <v>Kouiyn</v>
      </c>
      <c r="FG7" s="1">
        <v>116</v>
      </c>
      <c r="FH7" s="1" t="b">
        <v>0</v>
      </c>
      <c r="FI7" s="1" t="b">
        <v>0</v>
      </c>
      <c r="FJ7" s="1" t="b" cm="1">
        <f t="array" ref="FJ7">DeathTraded(FG7,$O$2,DV7,$O$2,DV23,$O$3,DV39,$O$4,DV55,$O$5,DV71,$O$6,$R$2)</f>
        <v>0</v>
      </c>
      <c r="FK7" s="1" t="str" cm="1">
        <f t="array" ref="FK7:FP7">DetermineKill(ConvertToRoundTime(secandmin(CT7),secandmin(CJ25),CU7),CS7,CW7,CX7,CV7,CZ7,CY7,$O$2)</f>
        <v>UNKNOWN</v>
      </c>
      <c r="FL7" s="1" t="b">
        <v>0</v>
      </c>
      <c r="FM7" s="1" t="str">
        <v>Rival</v>
      </c>
      <c r="FN7" s="1">
        <v>149</v>
      </c>
      <c r="FO7" s="1" t="b">
        <v>0</v>
      </c>
      <c r="FP7" s="1" t="b">
        <v>1</v>
      </c>
      <c r="FQ7" s="1" t="b" cm="1">
        <f t="array" ref="FQ7">DeathTraded(FN7,$O$2,DV7,$O$2,DV23,$O$3,DV39,$O$4,DV55,$O$5,DV71,$O$6,$R$2)</f>
        <v>0</v>
      </c>
      <c r="FR7" s="1" t="str" cm="1">
        <f t="array" ref="FR7:FW7">DetermineKill(ConvertToRoundTime(secandmin(DC7),secandmin(CJ25),DD7),DB7,DF7,DG7,DE7,DI7,DH7,$O$2)</f>
        <v>UNKNOWN</v>
      </c>
      <c r="FS7" s="1" t="b">
        <v>0</v>
      </c>
      <c r="FT7" s="1" t="str">
        <v>Kiru</v>
      </c>
      <c r="FU7" s="1">
        <v>151</v>
      </c>
      <c r="FV7" s="1" t="b">
        <v>0</v>
      </c>
      <c r="FW7" s="1" t="b">
        <v>1</v>
      </c>
      <c r="FX7" s="1" t="b" cm="1">
        <f t="array" ref="FX7">DeathTraded(FU7,$O$2,DV7,$O$2,DV23,$O$3,DV39,$O$4,DV55,$O$5,DV71,$O$6,$R$2)</f>
        <v>0</v>
      </c>
      <c r="FY7" s="5">
        <v>1</v>
      </c>
      <c r="FZ7" s="1">
        <f>IF($U$2=TRUE,SUM(FV7,FO7,FH7,FA7,ET7),"NO DATA")</f>
        <v>0</v>
      </c>
      <c r="GA7" s="21">
        <f>IF($U$2=TRUE,SUM(IF(CP25=$O$2,1,0),IF(CQ25=$O$2,1,0),IF(CR25=$O$2,1,0),IF(CS25=$O$2,1,0),IF(CT25=$O$2,1,0)),"NO DATA")</f>
        <v>0</v>
      </c>
      <c r="GB7" s="1" t="str">
        <f t="shared" ref="GB7:GB21" si="0">IF($T$2=TRUE,IF(AND(ISBLANK(AK25),CH25="Defence"),0,IF(NOT(CH25="Defence"),"",AK25)),"NODATA")</f>
        <v>NODATA</v>
      </c>
      <c r="GC7" s="13" t="str">
        <f t="shared" ref="GC7:GC20" si="1">IF($T$2=TRUE,IF(AND(ISBLANK(AP25),CH25="Defence"),0,IF(NOT(CH25="Defence"),"",AP25)),"NODATA")</f>
        <v>NODATA</v>
      </c>
      <c r="GD7" s="1" t="str">
        <f>IF($T$2=TRUE,IF(AND(ISBLANK(AD25),CH25="Attack"),FALSE,IF(NOT(CH25="Attack"),"",AD25)),"NODATA")</f>
        <v>NODATA</v>
      </c>
      <c r="GE7" s="1" t="str">
        <f>IF($T$2=TRUE,IF(AND(ISBLANK(AC42),CH25="Attack"),2,IF(NOT(CH25="Attack"),"",AC42)),"NODATA")</f>
        <v>NODATA</v>
      </c>
      <c r="GF7" s="1" t="b" cm="1">
        <f t="array" ref="GF7">IF($V$2=TRUE,IF(CH25="Attack",ConvertToRoundTime(secandmin(BC25),secandmin(CJ25),BD25),""),"NO DATA")</f>
        <v>0</v>
      </c>
      <c r="GG7" s="1" t="b" cm="1">
        <f t="array" ref="GG7">IF($V$2=TRUE,IF(CH25="Attack",ConvertToRoundTime(secandmin(BE25),secandmin(CJ25),BF25),"")," NO DATA")</f>
        <v>0</v>
      </c>
    </row>
    <row r="8" spans="1:189" x14ac:dyDescent="0.25">
      <c r="A8" s="10" t="s">
        <v>39</v>
      </c>
      <c r="B8" s="7" t="s">
        <v>12</v>
      </c>
      <c r="C8" s="3" t="s">
        <v>33</v>
      </c>
      <c r="D8" s="7" t="s">
        <v>34</v>
      </c>
      <c r="E8" s="3" t="s">
        <v>35</v>
      </c>
      <c r="F8" s="7" t="s">
        <v>36</v>
      </c>
      <c r="G8" s="7" t="s">
        <v>9</v>
      </c>
      <c r="H8" s="3" t="s">
        <v>10</v>
      </c>
      <c r="I8" s="7" t="s">
        <v>29</v>
      </c>
      <c r="J8" s="3" t="s">
        <v>11</v>
      </c>
      <c r="K8" s="7" t="s">
        <v>17</v>
      </c>
      <c r="L8" s="3" t="s">
        <v>21</v>
      </c>
      <c r="M8" s="7" t="s">
        <v>275</v>
      </c>
      <c r="N8" s="3" t="s">
        <v>37</v>
      </c>
      <c r="O8" s="7" t="s">
        <v>18</v>
      </c>
      <c r="P8" s="3" t="s">
        <v>19</v>
      </c>
      <c r="Q8" s="7" t="s">
        <v>20</v>
      </c>
      <c r="R8" s="3" t="s">
        <v>30</v>
      </c>
      <c r="S8" s="7" t="s">
        <v>31</v>
      </c>
      <c r="T8" s="3" t="s">
        <v>32</v>
      </c>
      <c r="AB8" s="4">
        <v>2</v>
      </c>
      <c r="AC8" s="44" t="s">
        <v>393</v>
      </c>
      <c r="AD8" s="1" t="b">
        <v>0</v>
      </c>
      <c r="AE8" s="14" t="s">
        <v>427</v>
      </c>
      <c r="AF8" s="39"/>
      <c r="AG8" s="15"/>
      <c r="AH8" s="39"/>
      <c r="AJ8" s="4">
        <v>2</v>
      </c>
      <c r="AK8" s="44"/>
      <c r="AL8" s="1" t="b">
        <v>0</v>
      </c>
      <c r="AM8" s="14"/>
      <c r="AN8" s="39"/>
      <c r="AO8" s="15"/>
      <c r="AP8" s="39" t="b">
        <v>1</v>
      </c>
      <c r="AR8" s="4">
        <v>2</v>
      </c>
      <c r="AS8" s="44"/>
      <c r="AT8" s="1" t="b">
        <v>0</v>
      </c>
      <c r="AU8" s="14"/>
      <c r="AV8" s="39"/>
      <c r="AW8" s="15"/>
      <c r="AX8" s="39"/>
      <c r="AZ8" s="4">
        <v>2</v>
      </c>
      <c r="BA8" s="44" t="s">
        <v>381</v>
      </c>
      <c r="BB8" s="1" t="b">
        <v>0</v>
      </c>
      <c r="BC8" s="14" t="s">
        <v>427</v>
      </c>
      <c r="BD8" s="39"/>
      <c r="BE8" s="15"/>
      <c r="BF8" s="39"/>
      <c r="BH8" s="4">
        <v>2</v>
      </c>
      <c r="BI8" s="44"/>
      <c r="BJ8" s="1" t="b">
        <v>0</v>
      </c>
      <c r="BK8" s="14"/>
      <c r="BL8" s="39"/>
      <c r="BM8" s="15"/>
      <c r="BN8" s="39"/>
      <c r="BQ8" s="4">
        <v>2</v>
      </c>
      <c r="BR8" s="15" t="s">
        <v>372</v>
      </c>
      <c r="BS8" s="44" t="s">
        <v>397</v>
      </c>
      <c r="BT8" s="1" t="b">
        <v>0</v>
      </c>
      <c r="BU8" s="15"/>
      <c r="BV8" s="39"/>
      <c r="BW8" s="15" t="s">
        <v>426</v>
      </c>
      <c r="BX8" s="39"/>
      <c r="BY8" s="15" t="b">
        <v>1</v>
      </c>
      <c r="BZ8" s="4">
        <v>2</v>
      </c>
      <c r="CA8" s="15" t="s">
        <v>372</v>
      </c>
      <c r="CB8" s="44" t="s">
        <v>374</v>
      </c>
      <c r="CC8" s="1" t="b">
        <v>0</v>
      </c>
      <c r="CD8" s="15"/>
      <c r="CE8" s="39"/>
      <c r="CF8" s="15" t="s">
        <v>428</v>
      </c>
      <c r="CG8" s="39"/>
      <c r="CH8" s="15" t="b">
        <v>1</v>
      </c>
      <c r="CI8" s="4">
        <v>2</v>
      </c>
      <c r="CJ8" s="15" t="s">
        <v>368</v>
      </c>
      <c r="CK8" s="44" t="s">
        <v>445</v>
      </c>
      <c r="CL8" s="1" t="b">
        <v>0</v>
      </c>
      <c r="CM8" s="15"/>
      <c r="CN8" s="39"/>
      <c r="CO8" s="15" t="s">
        <v>424</v>
      </c>
      <c r="CP8" s="39"/>
      <c r="CQ8" s="15" t="b">
        <v>1</v>
      </c>
      <c r="CR8" s="4">
        <v>2</v>
      </c>
      <c r="CS8" s="15" t="s">
        <v>368</v>
      </c>
      <c r="CT8" s="44" t="s">
        <v>446</v>
      </c>
      <c r="CU8" s="1" t="b">
        <v>0</v>
      </c>
      <c r="CV8" s="15"/>
      <c r="CW8" s="39"/>
      <c r="CX8" s="15" t="s">
        <v>425</v>
      </c>
      <c r="CY8" s="39"/>
      <c r="CZ8" s="15"/>
      <c r="DA8" s="4">
        <v>2</v>
      </c>
      <c r="DB8" s="15" t="s">
        <v>369</v>
      </c>
      <c r="DC8" s="44" t="s">
        <v>446</v>
      </c>
      <c r="DD8" s="1" t="b">
        <v>0</v>
      </c>
      <c r="DE8" s="15"/>
      <c r="DF8" s="39"/>
      <c r="DG8" s="15" t="s">
        <v>427</v>
      </c>
      <c r="DH8" s="39"/>
      <c r="DI8" s="15" t="b">
        <v>1</v>
      </c>
      <c r="DP8" s="37"/>
      <c r="DQ8" s="48" t="str">
        <f ca="1">A2</f>
        <v>8_22 Skyscraper_1</v>
      </c>
      <c r="DR8" s="4">
        <v>2</v>
      </c>
      <c r="DS8" s="1" t="str">
        <v>Attack</v>
      </c>
      <c r="DT8" s="1" t="str">
        <f t="shared" ref="DT8:DT21" si="2">$O$2</f>
        <v>Candle</v>
      </c>
      <c r="DU8" s="1" t="str">
        <v>Twitch</v>
      </c>
      <c r="DV8" s="21" cm="1">
        <f t="array" ref="DV8">ConvertToRoundTime(secandmin(AC8),secandmin(CJ26),AD8)</f>
        <v>159</v>
      </c>
      <c r="DW8" s="1" t="str">
        <v>Rival</v>
      </c>
      <c r="DX8" s="1" t="b" cm="1">
        <f t="array" ref="DX8">DeathRefragged(DV8,MAX(ES8,ES24,ES40,ES56,ES72,FA89),MAX(EZ8,EZ24,EZ40,EZ56,EZ72,FI89),MAX(FG8,FG24,FG40,FG56,FG72,FP89),MAX(FN8,FN24,FN40,FN56,FN72,FW89),MAX(FU8,FU24,FU40,FU56,FU72,GD89),$Q$2)</f>
        <v>0</v>
      </c>
      <c r="DY8" s="1" t="b" cm="1">
        <f t="array" ref="DY8">DeathTraded(DV8,DW8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8" s="1" t="b">
        <v>0</v>
      </c>
      <c r="EA8" s="1" t="str">
        <v>NOLOC</v>
      </c>
      <c r="EB8" s="1" t="b" cm="1">
        <f t="array" ref="EB8">OpeningDeath(MAX(ES8,ES24,ES40,ES56,ES72),DV8,DV24,DV40,DV56,DV72)</f>
        <v>0</v>
      </c>
      <c r="EC8" s="1" t="b" cm="1">
        <f t="array" ref="EC8">EntryDeath(DV8,DV24,DV40,DV56,DV72)</f>
        <v>1</v>
      </c>
      <c r="ED8" s="4">
        <v>2</v>
      </c>
      <c r="EE8" s="1">
        <f t="shared" ref="EE8:EE21" si="3">SUM(IF(ES8=FALSE,0,1),IF(EZ8=FALSE,0,1),IF(FG8=FALSE,0,1),IF(FN8=FALSE,0,1),IF(FU8=FALSE,0,1))</f>
        <v>2</v>
      </c>
      <c r="EF8" s="1">
        <f t="shared" ref="EF8:EF21" si="4">SUM(IF(EU8=TRUE,1,0),IF(FI8=TRUE,1,0),IF(FP8=TRUE,1,0),IF(FW8=TRUE,1,0),IF(FB8=TRUE,1,0))</f>
        <v>1</v>
      </c>
      <c r="EG8" s="1">
        <f t="shared" ref="EG8:EG21" si="5">SUM(IF(EQ8=TRUE,1,0),IF(FE8=TRUE,1,0),IF(FL8=TRUE,1,0),IF(FS8=TRUE,1,0),IF(EX8=TRUE,1,0))</f>
        <v>0</v>
      </c>
      <c r="EH8" s="1" cm="1">
        <f t="array" ref="EH8">ExitFrag(EN8,MAX(DV24,DV40,DV56,DV72),MAX(ES8,ES24,ES40,ES56,ES72,FA89),MAX(EZ8,EZ24,EZ40,EZ56,EZ72,FI89),MAX(FG8,FG24,FG40,FG56,FG72,FP89),MAX(FN8,FN24,FN40,FN56,FN72,FW89),MAX(FU8,FU24,FU40,FU56,FU72,GD89))</f>
        <v>0</v>
      </c>
      <c r="EI8" s="1" t="b" cm="1">
        <f t="array" ref="EI8">OpeningKill(ES8,ES24,ES40,ES56,ES72,FB89,DV8,DV24,DV40,DV56,DV72)</f>
        <v>0</v>
      </c>
      <c r="EJ8" s="1" t="b">
        <f t="shared" ref="EJ8:EJ21" si="6">IF(ES8=FALSE,FALSE,TRUE)</f>
        <v>0</v>
      </c>
      <c r="EK8" s="4">
        <v>2</v>
      </c>
      <c r="EL8" s="1" t="b">
        <v>0</v>
      </c>
      <c r="EM8" s="1" t="b" cm="1">
        <f t="array" ref="EM8">IF(NOT(ISBLANK(CP26)),KOST(EE8,DY8,DV8,EL8),"NOT PLAYED")</f>
        <v>1</v>
      </c>
      <c r="EN8" s="1" t="b" cm="1">
        <f t="array" ref="EN8">OneVX(DV24,DV40,DV56,DV72,DV8)</f>
        <v>0</v>
      </c>
      <c r="EO8" s="1" t="b">
        <f t="shared" ref="EO8:EO21" si="7">IF(AND(EN8=TRUE,CM26="Won"),TRUE,FALSE)</f>
        <v>0</v>
      </c>
      <c r="EP8" s="1" t="str" cm="1">
        <f t="array" ref="EP8:EU8">DetermineKill(ConvertToRoundTime(secandmin(BS8),secandmin(CJ26),BT8),BR8,BV8,BW8,BU8,BY8,BX8,$O$2)</f>
        <v>NOLOC</v>
      </c>
      <c r="EQ8" s="1" t="b">
        <v>0</v>
      </c>
      <c r="ER8" s="1" t="b">
        <v>0</v>
      </c>
      <c r="ES8" s="1" t="b">
        <v>0</v>
      </c>
      <c r="ET8" s="1" t="b">
        <v>0</v>
      </c>
      <c r="EU8" s="1" t="b">
        <v>0</v>
      </c>
      <c r="EV8" s="1" t="str" cm="1">
        <f t="array" ref="EV8">DeathTraded(ES8,$O$2,DV8,$O$2,DV24,$O$3,DV40,$O$4,DV56,$O$5,DV72,$O$6,$R$2)</f>
        <v>N/A</v>
      </c>
      <c r="EW8" s="1" t="str" cm="1">
        <f t="array" ref="EW8:FB8">DetermineKill(ConvertToRoundTime(secandmin(CB8),secandmin(CJ26),CC8),CA8,CE8,CF8,CD8,CH8,CG8,$O$2)</f>
        <v>NOLOC</v>
      </c>
      <c r="EX8" s="1" t="b">
        <v>0</v>
      </c>
      <c r="EY8" s="1" t="b">
        <v>0</v>
      </c>
      <c r="EZ8" s="1" t="b">
        <v>0</v>
      </c>
      <c r="FA8" s="1" t="b">
        <v>0</v>
      </c>
      <c r="FB8" s="1" t="b">
        <v>0</v>
      </c>
      <c r="FC8" s="1" t="str" cm="1">
        <f t="array" ref="FC8">DeathTraded(EZ8,$O$2,DV8,$O$2,DV24,$O$3,DV40,$O$4,DV56,$O$5,DV72,$O$6,$R$2)</f>
        <v>N/A</v>
      </c>
      <c r="FD8" s="1" t="str" cm="1">
        <f t="array" ref="FD8:FI8">DetermineKill(ConvertToRoundTime(secandmin(CK8),secandmin(CJ26),CL8),CJ8,CN8,CO8,CM8,CQ8,CP8,$O$2)</f>
        <v>UNKNOWN</v>
      </c>
      <c r="FE8" s="1" t="b">
        <v>0</v>
      </c>
      <c r="FF8" s="1" t="str">
        <v>Floofs</v>
      </c>
      <c r="FG8" s="1">
        <v>141</v>
      </c>
      <c r="FH8" s="1" t="b">
        <v>0</v>
      </c>
      <c r="FI8" s="1" t="b">
        <v>1</v>
      </c>
      <c r="FJ8" s="1" t="b" cm="1">
        <f t="array" ref="FJ8">DeathTraded(FG8,$O$2,DV8,$O$2,DV24,$O$3,DV40,$O$4,DV56,$O$5,DV72,$O$6,$R$2)</f>
        <v>0</v>
      </c>
      <c r="FK8" s="1" t="str" cm="1">
        <f t="array" ref="FK8:FP8">DetermineKill(ConvertToRoundTime(secandmin(CT8),secandmin(CJ26),CU8),CS8,CW8,CX8,CV8,CZ8,CY8,$O$2)</f>
        <v>UNKNOWN</v>
      </c>
      <c r="FL8" s="1" t="b">
        <v>0</v>
      </c>
      <c r="FM8" s="1" t="str">
        <v>Kouiyn</v>
      </c>
      <c r="FN8" s="1">
        <v>144</v>
      </c>
      <c r="FO8" s="1" t="b">
        <v>0</v>
      </c>
      <c r="FP8" s="1" t="b">
        <v>0</v>
      </c>
      <c r="FQ8" s="1" t="b" cm="1">
        <f t="array" ref="FQ8">DeathTraded(FN8,$O$2,DV8,$O$2,DV24,$O$3,DV40,$O$4,DV56,$O$5,DV72,$O$6,$R$2)</f>
        <v>0</v>
      </c>
      <c r="FR8" s="1" t="str" cm="1">
        <f t="array" ref="FR8:FW8">DetermineKill(ConvertToRoundTime(secandmin(DC8),secandmin(CJ26),DD8),DB8,DF8,DG8,DE8,DI8,DH8,$O$2)</f>
        <v>NOLOC</v>
      </c>
      <c r="FS8" s="1" t="b">
        <v>0</v>
      </c>
      <c r="FT8" s="1" t="b">
        <v>0</v>
      </c>
      <c r="FU8" s="1" t="b">
        <v>0</v>
      </c>
      <c r="FV8" s="1" t="b">
        <v>0</v>
      </c>
      <c r="FW8" s="1" t="b">
        <v>0</v>
      </c>
      <c r="FX8" s="1" t="str" cm="1">
        <f t="array" ref="FX8">DeathTraded(FU8,$O$2,DV8,$O$2,DV24,$O$3,DV40,$O$4,DV56,$O$5,DV72,$O$6,$R$2)</f>
        <v>N/A</v>
      </c>
      <c r="FY8" s="4">
        <v>2</v>
      </c>
      <c r="FZ8" s="1">
        <f t="shared" ref="FZ8:FZ21" si="8">IF($U$2=TRUE,SUM(FV8,FO8,FH8,FA8,ET8),"NO DATA")</f>
        <v>0</v>
      </c>
      <c r="GA8" s="21">
        <f t="shared" ref="GA8:GA21" si="9">IF($U$2=TRUE,SUM(IF(CP26=$O$2,1,0),IF(CQ26=$O$2,1,0),IF(CR26=$O$2,1,0),IF(CS26=$O$2,1,0),IF(CT26=$O$2,1,0)),"NO DATA")</f>
        <v>0</v>
      </c>
      <c r="GB8" s="1" t="str">
        <f t="shared" si="0"/>
        <v>NODATA</v>
      </c>
      <c r="GC8" s="13" t="str">
        <f t="shared" si="1"/>
        <v>NODATA</v>
      </c>
      <c r="GD8" s="1" t="str">
        <f t="shared" ref="GD8:GD21" si="10">IF($T$2=TRUE,IF(AND(ISBLANK(AD26),CH26="Attack"),FALSE,IF(NOT(CH26="Attack"),"",AD26)),"NODATA")</f>
        <v>NODATA</v>
      </c>
      <c r="GE8" s="1" t="str">
        <f t="shared" ref="GE8:GE21" si="11">IF($T$2=TRUE,IF(AND(ISBLANK(AC43),CH26="Attack"),2,IF(NOT(CH26="Attack"),"",AC43)),"NODATA")</f>
        <v>NODATA</v>
      </c>
      <c r="GF8" s="1" t="b" cm="1">
        <f t="array" ref="GF8">IF($V$2=TRUE,IF(CH26="Attack",ConvertToRoundTime(secandmin(BC26),secandmin(CJ26),BD26),""),"NO DATA")</f>
        <v>0</v>
      </c>
      <c r="GG8" s="1" t="b" cm="1">
        <f t="array" ref="GG8">IF($V$2=TRUE,IF(CH26="Attack",ConvertToRoundTime(secandmin(BE26),secandmin(CJ26),BF26),"")," NO DATA")</f>
        <v>0</v>
      </c>
    </row>
    <row r="9" spans="1:189" x14ac:dyDescent="0.25">
      <c r="A9" s="11" t="s">
        <v>0</v>
      </c>
      <c r="B9" s="2"/>
      <c r="C9" s="3"/>
      <c r="D9" s="2"/>
      <c r="E9" s="3"/>
      <c r="F9" s="2"/>
      <c r="G9" s="4"/>
      <c r="H9" s="5"/>
      <c r="I9" s="4"/>
      <c r="J9" s="5"/>
      <c r="K9" s="4"/>
      <c r="L9" s="5"/>
      <c r="M9" s="4"/>
      <c r="N9" s="5"/>
      <c r="O9" s="6"/>
      <c r="P9" s="7"/>
      <c r="Q9" s="6"/>
      <c r="R9" s="7"/>
      <c r="S9" s="6"/>
      <c r="T9" s="7"/>
      <c r="AB9" s="5">
        <v>3</v>
      </c>
      <c r="AC9" s="43" t="s">
        <v>429</v>
      </c>
      <c r="AD9" s="1" t="b">
        <v>0</v>
      </c>
      <c r="AE9" s="14" t="s">
        <v>426</v>
      </c>
      <c r="AF9" s="38"/>
      <c r="AG9" s="14"/>
      <c r="AH9" s="38"/>
      <c r="AJ9" s="5">
        <v>3</v>
      </c>
      <c r="AK9" s="43" t="s">
        <v>434</v>
      </c>
      <c r="AL9" s="1" t="b">
        <v>0</v>
      </c>
      <c r="AM9" s="14" t="s">
        <v>426</v>
      </c>
      <c r="AN9" s="38"/>
      <c r="AO9" s="14"/>
      <c r="AP9" s="38"/>
      <c r="AR9" s="5">
        <v>3</v>
      </c>
      <c r="AS9" s="43" t="s">
        <v>435</v>
      </c>
      <c r="AT9" s="1" t="b">
        <v>0</v>
      </c>
      <c r="AU9" s="14" t="s">
        <v>424</v>
      </c>
      <c r="AV9" s="38"/>
      <c r="AW9" s="14"/>
      <c r="AX9" s="38"/>
      <c r="AZ9" s="5">
        <v>3</v>
      </c>
      <c r="BA9" s="43" t="s">
        <v>441</v>
      </c>
      <c r="BB9" s="1" t="b">
        <v>0</v>
      </c>
      <c r="BC9" s="14" t="s">
        <v>427</v>
      </c>
      <c r="BD9" s="38"/>
      <c r="BE9" s="14"/>
      <c r="BF9" s="38"/>
      <c r="BH9" s="5">
        <v>3</v>
      </c>
      <c r="BI9" s="43" t="s">
        <v>402</v>
      </c>
      <c r="BJ9" s="1" t="b">
        <v>0</v>
      </c>
      <c r="BK9" s="14" t="s">
        <v>424</v>
      </c>
      <c r="BL9" s="38"/>
      <c r="BM9" s="14"/>
      <c r="BN9" s="38"/>
      <c r="BQ9" s="5">
        <v>3</v>
      </c>
      <c r="BR9" s="14" t="s">
        <v>369</v>
      </c>
      <c r="BS9" s="43" t="s">
        <v>446</v>
      </c>
      <c r="BT9" s="1" t="b">
        <v>0</v>
      </c>
      <c r="BU9" s="14"/>
      <c r="BV9" s="38"/>
      <c r="BW9" s="14" t="s">
        <v>428</v>
      </c>
      <c r="BX9" s="38"/>
      <c r="BY9" s="14"/>
      <c r="BZ9" s="5">
        <v>3</v>
      </c>
      <c r="CA9" s="14"/>
      <c r="CB9" s="43"/>
      <c r="CC9" s="1" t="b">
        <v>0</v>
      </c>
      <c r="CD9" s="14"/>
      <c r="CE9" s="38"/>
      <c r="CF9" s="14"/>
      <c r="CG9" s="38"/>
      <c r="CH9" s="14"/>
      <c r="CI9" s="5">
        <v>3</v>
      </c>
      <c r="CJ9" s="14"/>
      <c r="CK9" s="43"/>
      <c r="CL9" s="1" t="b">
        <v>0</v>
      </c>
      <c r="CM9" s="14"/>
      <c r="CN9" s="38"/>
      <c r="CO9" s="14"/>
      <c r="CP9" s="38"/>
      <c r="CQ9" s="14"/>
      <c r="CR9" s="5">
        <v>3</v>
      </c>
      <c r="CS9" s="14"/>
      <c r="CT9" s="43"/>
      <c r="CU9" s="1" t="b">
        <v>0</v>
      </c>
      <c r="CV9" s="14"/>
      <c r="CW9" s="38"/>
      <c r="CX9" s="14"/>
      <c r="CY9" s="38"/>
      <c r="CZ9" s="14"/>
      <c r="DA9" s="5">
        <v>3</v>
      </c>
      <c r="DB9" s="14"/>
      <c r="DC9" s="43"/>
      <c r="DD9" s="1" t="b">
        <v>0</v>
      </c>
      <c r="DE9" s="14"/>
      <c r="DF9" s="38"/>
      <c r="DG9" s="14"/>
      <c r="DH9" s="38"/>
      <c r="DI9" s="14"/>
      <c r="DP9" s="37"/>
      <c r="DQ9" s="48" t="str">
        <f ca="1">A2</f>
        <v>8_22 Skyscraper_1</v>
      </c>
      <c r="DR9" s="5">
        <v>3</v>
      </c>
      <c r="DS9" s="1" t="str">
        <v>Attack</v>
      </c>
      <c r="DT9" s="1" t="str">
        <f t="shared" si="2"/>
        <v>Candle</v>
      </c>
      <c r="DU9" s="1" t="str">
        <v>Zofia</v>
      </c>
      <c r="DV9" s="21" cm="1">
        <f t="array" ref="DV9">ConvertToRoundTime(secandmin(AC9),secandmin(CJ27),AD9)</f>
        <v>123</v>
      </c>
      <c r="DW9" s="1" t="str">
        <v>Snipey</v>
      </c>
      <c r="DX9" s="1" t="b" cm="1">
        <f t="array" ref="DX9">DeathRefragged(DV9,MAX(ES9,ES25,ES41,ES57,ES73,FA90),MAX(EZ9,EZ25,EZ41,EZ57,EZ73,FI90),MAX(FG9,FG25,FG41,FG57,FG73,FP90),MAX(FN9,FN25,FN41,FN57,FN73,FW90),MAX(FU9,FU25,FU41,FU57,FU73,GD90),$Q$2)</f>
        <v>0</v>
      </c>
      <c r="DY9" s="1" t="b" cm="1">
        <f t="array" ref="DY9">DeathTraded(DV9,DW9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0</v>
      </c>
      <c r="DZ9" s="1" t="b">
        <v>0</v>
      </c>
      <c r="EA9" s="1" t="str">
        <v>NOLOC</v>
      </c>
      <c r="EB9" s="1" t="b" cm="1">
        <f t="array" ref="EB9">OpeningDeath(MAX(ES9,ES25,ES41,ES57,ES73),DV9,DV25,DV41,DV57,DV73)</f>
        <v>0</v>
      </c>
      <c r="EC9" s="1" t="b" cm="1">
        <f t="array" ref="EC9">EntryDeath(DV9,DV25,DV41,DV57,DV73)</f>
        <v>0</v>
      </c>
      <c r="ED9" s="5">
        <v>3</v>
      </c>
      <c r="EE9" s="1">
        <f t="shared" si="3"/>
        <v>0</v>
      </c>
      <c r="EF9" s="1">
        <f t="shared" si="4"/>
        <v>0</v>
      </c>
      <c r="EG9" s="1">
        <f t="shared" si="5"/>
        <v>0</v>
      </c>
      <c r="EH9" s="1" cm="1">
        <f t="array" ref="EH9">ExitFrag(EN9,MAX(DV25,DV41,DV57,DV73),MAX(ES9,ES25,ES41,ES57,ES73,FA90),MAX(EZ9,EZ25,EZ41,EZ57,EZ73,FI90),MAX(FG9,FG25,FG41,FG57,FG73,FP90),MAX(FN9,FN25,FN41,FN57,FN73,FW90),MAX(FU9,FU25,FU41,FU57,FU73,GD90))</f>
        <v>0</v>
      </c>
      <c r="EI9" s="1" t="b" cm="1">
        <f t="array" ref="EI9">OpeningKill(ES9,ES25,ES41,ES57,ES73,FB90,DV9,DV25,DV41,DV57,DV73)</f>
        <v>0</v>
      </c>
      <c r="EJ9" s="1" t="b">
        <f t="shared" si="6"/>
        <v>0</v>
      </c>
      <c r="EK9" s="5">
        <v>3</v>
      </c>
      <c r="EL9" s="1" t="b">
        <v>0</v>
      </c>
      <c r="EM9" s="1" t="b" cm="1">
        <f t="array" ref="EM9">IF(NOT(ISBLANK(CP27)),KOST(EE9,DY9,DV9,EL9),"NOT PLAYED")</f>
        <v>0</v>
      </c>
      <c r="EN9" s="1" t="b" cm="1">
        <f t="array" ref="EN9">OneVX(DV25,DV41,DV57,DV73,DV9)</f>
        <v>0</v>
      </c>
      <c r="EO9" s="1" t="b">
        <f t="shared" si="7"/>
        <v>0</v>
      </c>
      <c r="EP9" s="1" t="str" cm="1">
        <f t="array" ref="EP9:EU9">DetermineKill(ConvertToRoundTime(secandmin(BS9),secandmin(CJ27),BT9),BR9,BV9,BW9,BU9,BY9,BX9,$O$2)</f>
        <v>NOLOC</v>
      </c>
      <c r="EQ9" s="1" t="b">
        <v>0</v>
      </c>
      <c r="ER9" s="1" t="b">
        <v>0</v>
      </c>
      <c r="ES9" s="1" t="b">
        <v>0</v>
      </c>
      <c r="ET9" s="1" t="b">
        <v>0</v>
      </c>
      <c r="EU9" s="1" t="b">
        <v>0</v>
      </c>
      <c r="EV9" s="1" t="str" cm="1">
        <f t="array" ref="EV9">DeathTraded(ES9,$O$2,DV9,$O$2,DV25,$O$3,DV41,$O$4,DV57,$O$5,DV73,$O$6,$R$2)</f>
        <v>N/A</v>
      </c>
      <c r="EW9" s="1" t="str" cm="1">
        <f t="array" ref="EW9:FB9">DetermineKill(ConvertToRoundTime(secandmin(CB9),secandmin(CJ27),CC9),CA9,CE9,CF9,CD9,CH9,CG9,$O$2)</f>
        <v>NOLOC</v>
      </c>
      <c r="EX9" s="1" t="b">
        <v>0</v>
      </c>
      <c r="EY9" s="1" t="b">
        <v>0</v>
      </c>
      <c r="EZ9" s="1" t="b">
        <v>0</v>
      </c>
      <c r="FA9" s="1" t="b">
        <v>0</v>
      </c>
      <c r="FB9" s="1" t="b">
        <v>0</v>
      </c>
      <c r="FC9" s="1" t="str" cm="1">
        <f t="array" ref="FC9">DeathTraded(EZ9,$O$2,DV9,$O$2,DV25,$O$3,DV41,$O$4,DV57,$O$5,DV73,$O$6,$R$2)</f>
        <v>N/A</v>
      </c>
      <c r="FD9" s="1" t="str" cm="1">
        <f t="array" ref="FD9:FI9">DetermineKill(ConvertToRoundTime(secandmin(CK9),secandmin(CJ27),CL9),CJ9,CN9,CO9,CM9,CQ9,CP9,$O$2)</f>
        <v>NOLOC</v>
      </c>
      <c r="FE9" s="1" t="b">
        <v>0</v>
      </c>
      <c r="FF9" s="1" t="b">
        <v>0</v>
      </c>
      <c r="FG9" s="1" t="b">
        <v>0</v>
      </c>
      <c r="FH9" s="1" t="b">
        <v>0</v>
      </c>
      <c r="FI9" s="1" t="b">
        <v>0</v>
      </c>
      <c r="FJ9" s="1" t="str" cm="1">
        <f t="array" ref="FJ9">DeathTraded(FG9,$O$2,DV9,$O$2,DV25,$O$3,DV41,$O$4,DV57,$O$5,DV73,$O$6,$R$2)</f>
        <v>N/A</v>
      </c>
      <c r="FK9" s="1" t="str" cm="1">
        <f t="array" ref="FK9:FP9">DetermineKill(ConvertToRoundTime(secandmin(CT9),secandmin(CJ27),CU9),CS9,CW9,CX9,CV9,CZ9,CY9,$O$2)</f>
        <v>NOLOC</v>
      </c>
      <c r="FL9" s="1" t="b">
        <v>0</v>
      </c>
      <c r="FM9" s="1" t="b">
        <v>0</v>
      </c>
      <c r="FN9" s="1" t="b">
        <v>0</v>
      </c>
      <c r="FO9" s="1" t="b">
        <v>0</v>
      </c>
      <c r="FP9" s="1" t="b">
        <v>0</v>
      </c>
      <c r="FQ9" s="1" t="str" cm="1">
        <f t="array" ref="FQ9">DeathTraded(FN9,$O$2,DV9,$O$2,DV25,$O$3,DV41,$O$4,DV57,$O$5,DV73,$O$6,$R$2)</f>
        <v>N/A</v>
      </c>
      <c r="FR9" s="1" t="str" cm="1">
        <f t="array" ref="FR9:FW9">DetermineKill(ConvertToRoundTime(secandmin(DC9),secandmin(CJ27),DD9),DB9,DF9,DG9,DE9,DI9,DH9,$O$2)</f>
        <v>NOLOC</v>
      </c>
      <c r="FS9" s="1" t="b">
        <v>0</v>
      </c>
      <c r="FT9" s="1" t="b">
        <v>0</v>
      </c>
      <c r="FU9" s="1" t="b">
        <v>0</v>
      </c>
      <c r="FV9" s="1" t="b">
        <v>0</v>
      </c>
      <c r="FW9" s="1" t="b">
        <v>0</v>
      </c>
      <c r="FX9" s="1" t="str" cm="1">
        <f t="array" ref="FX9">DeathTraded(FU9,$O$2,DV9,$O$2,DV25,$O$3,DV41,$O$4,DV57,$O$5,DV73,$O$6,$R$2)</f>
        <v>N/A</v>
      </c>
      <c r="FY9" s="5">
        <v>3</v>
      </c>
      <c r="FZ9" s="1">
        <f t="shared" si="8"/>
        <v>0</v>
      </c>
      <c r="GA9" s="21">
        <f t="shared" si="9"/>
        <v>0</v>
      </c>
      <c r="GB9" s="1" t="str">
        <f t="shared" si="0"/>
        <v>NODATA</v>
      </c>
      <c r="GC9" s="13" t="str">
        <f t="shared" si="1"/>
        <v>NODATA</v>
      </c>
      <c r="GD9" s="1" t="str">
        <f t="shared" si="10"/>
        <v>NODATA</v>
      </c>
      <c r="GE9" s="1" t="str">
        <f t="shared" si="11"/>
        <v>NODATA</v>
      </c>
      <c r="GF9" s="1" t="b" cm="1">
        <f t="array" ref="GF9">IF($V$2=TRUE,IF(CH27="Attack",ConvertToRoundTime(secandmin(BC27),secandmin(CJ27),BD27),""),"NO DATA")</f>
        <v>0</v>
      </c>
      <c r="GG9" s="1" t="b" cm="1">
        <f t="array" ref="GG9">IF($V$2=TRUE,IF(CH27="Attack",ConvertToRoundTime(secandmin(BE27),secandmin(CJ27),BF27),"")," NO DATA")</f>
        <v>0</v>
      </c>
    </row>
    <row r="10" spans="1:189" x14ac:dyDescent="0.25">
      <c r="A10" s="9" t="s">
        <v>13</v>
      </c>
      <c r="B10" s="2"/>
      <c r="C10" s="3"/>
      <c r="D10" s="2"/>
      <c r="E10" s="3"/>
      <c r="F10" s="2"/>
      <c r="G10" s="4"/>
      <c r="H10" s="5"/>
      <c r="I10" s="4"/>
      <c r="J10" s="5"/>
      <c r="K10" s="4"/>
      <c r="L10" s="5"/>
      <c r="M10" s="4"/>
      <c r="N10" s="5"/>
      <c r="O10" s="6"/>
      <c r="P10" s="7"/>
      <c r="Q10" s="6"/>
      <c r="R10" s="7"/>
      <c r="S10" s="6"/>
      <c r="T10" s="7"/>
      <c r="AB10" s="4">
        <v>4</v>
      </c>
      <c r="AC10" s="44"/>
      <c r="AD10" s="1" t="b">
        <v>0</v>
      </c>
      <c r="AE10" s="14"/>
      <c r="AF10" s="39"/>
      <c r="AG10" s="15"/>
      <c r="AH10" s="39"/>
      <c r="AJ10" s="4">
        <v>4</v>
      </c>
      <c r="AK10" s="44"/>
      <c r="AL10" s="1" t="b">
        <v>0</v>
      </c>
      <c r="AM10" s="14"/>
      <c r="AN10" s="39"/>
      <c r="AO10" s="15"/>
      <c r="AP10" s="39"/>
      <c r="AR10" s="4">
        <v>4</v>
      </c>
      <c r="AS10" s="44" t="s">
        <v>436</v>
      </c>
      <c r="AT10" s="1" t="b">
        <v>0</v>
      </c>
      <c r="AU10" s="14" t="s">
        <v>424</v>
      </c>
      <c r="AV10" s="39"/>
      <c r="AW10" s="15"/>
      <c r="AX10" s="39"/>
      <c r="AZ10" s="4">
        <v>4</v>
      </c>
      <c r="BA10" s="44"/>
      <c r="BB10" s="1" t="b">
        <v>0</v>
      </c>
      <c r="BC10" s="14"/>
      <c r="BD10" s="39"/>
      <c r="BE10" s="15"/>
      <c r="BF10" s="39"/>
      <c r="BH10" s="4">
        <v>4</v>
      </c>
      <c r="BI10" s="44" t="s">
        <v>395</v>
      </c>
      <c r="BJ10" s="1" t="b">
        <v>0</v>
      </c>
      <c r="BK10" s="14" t="s">
        <v>428</v>
      </c>
      <c r="BL10" s="39"/>
      <c r="BM10" s="15"/>
      <c r="BN10" s="39"/>
      <c r="BQ10" s="4">
        <v>4</v>
      </c>
      <c r="BR10" s="15" t="s">
        <v>368</v>
      </c>
      <c r="BS10" s="44" t="s">
        <v>447</v>
      </c>
      <c r="BT10" s="1" t="b">
        <v>0</v>
      </c>
      <c r="BU10" s="15"/>
      <c r="BV10" s="39" t="b">
        <v>1</v>
      </c>
      <c r="BW10" s="15" t="s">
        <v>427</v>
      </c>
      <c r="BX10" s="39"/>
      <c r="BY10" s="15"/>
      <c r="BZ10" s="4">
        <v>4</v>
      </c>
      <c r="CA10" s="15" t="s">
        <v>372</v>
      </c>
      <c r="CB10" s="44" t="s">
        <v>448</v>
      </c>
      <c r="CC10" s="1" t="b">
        <v>0</v>
      </c>
      <c r="CD10" s="15"/>
      <c r="CE10" s="39"/>
      <c r="CF10" s="15" t="s">
        <v>425</v>
      </c>
      <c r="CG10" s="39"/>
      <c r="CH10" s="15" t="b">
        <v>1</v>
      </c>
      <c r="CI10" s="4">
        <v>4</v>
      </c>
      <c r="CJ10" s="15" t="s">
        <v>368</v>
      </c>
      <c r="CK10" s="44" t="s">
        <v>375</v>
      </c>
      <c r="CL10" s="1" t="b">
        <v>0</v>
      </c>
      <c r="CM10" s="15"/>
      <c r="CN10" s="39"/>
      <c r="CO10" s="15" t="s">
        <v>424</v>
      </c>
      <c r="CP10" s="39"/>
      <c r="CQ10" s="15" t="b">
        <v>1</v>
      </c>
      <c r="CR10" s="4">
        <v>4</v>
      </c>
      <c r="CS10" s="15" t="s">
        <v>368</v>
      </c>
      <c r="CT10" s="44" t="s">
        <v>387</v>
      </c>
      <c r="CU10" s="1" t="b">
        <v>0</v>
      </c>
      <c r="CV10" s="15"/>
      <c r="CW10" s="39"/>
      <c r="CX10" s="15" t="s">
        <v>426</v>
      </c>
      <c r="CY10" s="39"/>
      <c r="CZ10" s="15"/>
      <c r="DA10" s="4">
        <v>4</v>
      </c>
      <c r="DB10" s="15" t="s">
        <v>370</v>
      </c>
      <c r="DC10" s="44" t="s">
        <v>401</v>
      </c>
      <c r="DD10" s="1" t="b">
        <v>0</v>
      </c>
      <c r="DE10" s="15"/>
      <c r="DF10" s="39"/>
      <c r="DG10" s="15" t="s">
        <v>428</v>
      </c>
      <c r="DH10" s="39"/>
      <c r="DI10" s="15" t="b">
        <v>1</v>
      </c>
      <c r="DP10" s="37"/>
      <c r="DQ10" s="48" t="str">
        <f ca="1">A2</f>
        <v>8_22 Skyscraper_1</v>
      </c>
      <c r="DR10" s="4">
        <v>4</v>
      </c>
      <c r="DS10" s="1" t="str">
        <v>Attack</v>
      </c>
      <c r="DT10" s="1" t="str">
        <f t="shared" si="2"/>
        <v>Candle</v>
      </c>
      <c r="DU10" s="1" t="str">
        <v>Twitch</v>
      </c>
      <c r="DV10" s="21" t="b" cm="1">
        <f t="array" ref="DV10">ConvertToRoundTime(secandmin(AC10),secandmin(CJ28),AD10)</f>
        <v>0</v>
      </c>
      <c r="DW10" s="1" t="b">
        <v>0</v>
      </c>
      <c r="DX10" s="1" t="str" cm="1">
        <f t="array" ref="DX10">DeathRefragged(DV10,MAX(ES10,ES26,ES42,ES58,ES74,FA91),MAX(EZ10,EZ26,EZ42,EZ58,EZ74,FI91),MAX(FG10,FG26,FG42,FG58,FG74,FP91),MAX(FN10,FN26,FN42,FN58,FN74,FW91),MAX(FU10,FU26,FU42,FU58,FU74,GD91),$Q$2)</f>
        <v>N/A</v>
      </c>
      <c r="DY10" s="1" t="str" cm="1">
        <f t="array" ref="DY10">DeathTraded(DV10,DW10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10" s="1" t="b">
        <v>0</v>
      </c>
      <c r="EA10" s="1" t="str">
        <v>NOLOC</v>
      </c>
      <c r="EB10" s="1" t="b" cm="1">
        <f t="array" ref="EB10">OpeningDeath(MAX(ES10,ES26,ES42,ES58,ES74),DV10,DV26,DV42,DV58,DV74)</f>
        <v>0</v>
      </c>
      <c r="EC10" s="1" t="b" cm="1">
        <f t="array" ref="EC10">EntryDeath(DV10,DV26,DV42,DV58,DV74)</f>
        <v>0</v>
      </c>
      <c r="ED10" s="4">
        <v>4</v>
      </c>
      <c r="EE10" s="1">
        <f t="shared" si="3"/>
        <v>3</v>
      </c>
      <c r="EF10" s="1">
        <f t="shared" si="4"/>
        <v>1</v>
      </c>
      <c r="EG10" s="1">
        <f t="shared" si="5"/>
        <v>1</v>
      </c>
      <c r="EH10" s="1" cm="1">
        <f t="array" ref="EH10">ExitFrag(EN10,MAX(DV26,DV42,DV58,DV74),MAX(ES10,ES26,ES42,ES58,ES74,FA91),MAX(EZ10,EZ26,EZ42,EZ58,EZ74,FI91),MAX(FG10,FG26,FG42,FG58,FG74,FP91),MAX(FN10,FN26,FN42,FN58,FN74,FW91),MAX(FU10,FU26,FU42,FU58,FU74,GD91))</f>
        <v>0</v>
      </c>
      <c r="EI10" s="1" t="b" cm="1">
        <f t="array" ref="EI10">OpeningKill(ES10,ES26,ES42,ES58,ES74,FB91,DV10,DV26,DV42,DV58,DV74)</f>
        <v>0</v>
      </c>
      <c r="EJ10" s="1" t="b">
        <f t="shared" si="6"/>
        <v>1</v>
      </c>
      <c r="EK10" s="4">
        <v>4</v>
      </c>
      <c r="EL10" s="1" t="b">
        <v>0</v>
      </c>
      <c r="EM10" s="1" t="b" cm="1">
        <f t="array" ref="EM10">IF(NOT(ISBLANK(CP28)),KOST(EE10,DY10,DV10,EL10),"NOT PLAYED")</f>
        <v>1</v>
      </c>
      <c r="EN10" s="1" t="b" cm="1">
        <f t="array" ref="EN10">OneVX(DV26,DV42,DV58,DV74,DV10)</f>
        <v>0</v>
      </c>
      <c r="EO10" s="1" t="b">
        <f t="shared" si="7"/>
        <v>0</v>
      </c>
      <c r="EP10" s="1" t="str" cm="1">
        <f t="array" ref="EP10:EU10">DetermineKill(ConvertToRoundTime(secandmin(BS10),secandmin(CJ28),BT10),BR10,BV10,BW10,BU10,BY10,BX10,$O$2)</f>
        <v>UNKNOWN</v>
      </c>
      <c r="EQ10" s="1" t="b">
        <v>1</v>
      </c>
      <c r="ER10" s="1" t="str">
        <v>Rival</v>
      </c>
      <c r="ES10" s="1">
        <v>109</v>
      </c>
      <c r="ET10" s="1" t="b">
        <v>0</v>
      </c>
      <c r="EU10" s="1" t="b">
        <v>0</v>
      </c>
      <c r="EV10" s="1" t="b" cm="1">
        <f t="array" ref="EV10">DeathTraded(ES10,$O$2,DV10,$O$2,DV26,$O$3,DV42,$O$4,DV58,$O$5,DV74,$O$6,$R$2)</f>
        <v>0</v>
      </c>
      <c r="EW10" s="1" t="str" cm="1">
        <f t="array" ref="EW10:FB10">DetermineKill(ConvertToRoundTime(secandmin(CB10),secandmin(CJ28),CC10),CA10,CE10,CF10,CD10,CH10,CG10,$O$2)</f>
        <v>NOLOC</v>
      </c>
      <c r="EX10" s="1" t="b">
        <v>0</v>
      </c>
      <c r="EY10" s="1" t="b">
        <v>0</v>
      </c>
      <c r="EZ10" s="1" t="b">
        <v>0</v>
      </c>
      <c r="FA10" s="1" t="b">
        <v>0</v>
      </c>
      <c r="FB10" s="1" t="b">
        <v>0</v>
      </c>
      <c r="FC10" s="1" t="str" cm="1">
        <f t="array" ref="FC10">DeathTraded(EZ10,$O$2,DV10,$O$2,DV26,$O$3,DV42,$O$4,DV58,$O$5,DV74,$O$6,$R$2)</f>
        <v>N/A</v>
      </c>
      <c r="FD10" s="1" t="str" cm="1">
        <f t="array" ref="FD10:FI10">DetermineKill(ConvertToRoundTime(secandmin(CK10),secandmin(CJ28),CL10),CJ10,CN10,CO10,CM10,CQ10,CP10,$O$2)</f>
        <v>UNKNOWN</v>
      </c>
      <c r="FE10" s="1" t="b">
        <v>0</v>
      </c>
      <c r="FF10" s="1" t="str">
        <v>Floofs</v>
      </c>
      <c r="FG10" s="1">
        <v>132</v>
      </c>
      <c r="FH10" s="1" t="b">
        <v>0</v>
      </c>
      <c r="FI10" s="1" t="b">
        <v>1</v>
      </c>
      <c r="FJ10" s="1" t="b" cm="1">
        <f t="array" ref="FJ10">DeathTraded(FG10,$O$2,DV10,$O$2,DV26,$O$3,DV42,$O$4,DV58,$O$5,DV74,$O$6,$R$2)</f>
        <v>0</v>
      </c>
      <c r="FK10" s="1" t="str" cm="1">
        <f t="array" ref="FK10:FP10">DetermineKill(ConvertToRoundTime(secandmin(CT10),secandmin(CJ28),CU10),CS10,CW10,CX10,CV10,CZ10,CY10,$O$2)</f>
        <v>UNKNOWN</v>
      </c>
      <c r="FL10" s="1" t="b">
        <v>0</v>
      </c>
      <c r="FM10" s="1" t="str">
        <v>Snipey</v>
      </c>
      <c r="FN10" s="1">
        <v>149</v>
      </c>
      <c r="FO10" s="1" t="b">
        <v>0</v>
      </c>
      <c r="FP10" s="1" t="b">
        <v>0</v>
      </c>
      <c r="FQ10" s="1" t="b" cm="1">
        <f t="array" ref="FQ10">DeathTraded(FN10,$O$2,DV10,$O$2,DV26,$O$3,DV42,$O$4,DV58,$O$5,DV74,$O$6,$R$2)</f>
        <v>0</v>
      </c>
      <c r="FR10" s="1" t="str" cm="1">
        <f t="array" ref="FR10:FW10">DetermineKill(ConvertToRoundTime(secandmin(DC10),secandmin(CJ28),DD10),DB10,DF10,DG10,DE10,DI10,DH10,$O$2)</f>
        <v>NOLOC</v>
      </c>
      <c r="FS10" s="1" t="b">
        <v>0</v>
      </c>
      <c r="FT10" s="1" t="b">
        <v>0</v>
      </c>
      <c r="FU10" s="1" t="b">
        <v>0</v>
      </c>
      <c r="FV10" s="1" t="b">
        <v>0</v>
      </c>
      <c r="FW10" s="1" t="b">
        <v>0</v>
      </c>
      <c r="FX10" s="1" t="str" cm="1">
        <f t="array" ref="FX10">DeathTraded(FU10,$O$2,DV10,$O$2,DV26,$O$3,DV42,$O$4,DV58,$O$5,DV74,$O$6,$R$2)</f>
        <v>N/A</v>
      </c>
      <c r="FY10" s="4">
        <v>4</v>
      </c>
      <c r="FZ10" s="1">
        <f t="shared" si="8"/>
        <v>0</v>
      </c>
      <c r="GA10" s="21">
        <f t="shared" si="9"/>
        <v>0</v>
      </c>
      <c r="GB10" s="1" t="str">
        <f t="shared" si="0"/>
        <v>NODATA</v>
      </c>
      <c r="GC10" s="13" t="str">
        <f t="shared" si="1"/>
        <v>NODATA</v>
      </c>
      <c r="GD10" s="1" t="str">
        <f t="shared" si="10"/>
        <v>NODATA</v>
      </c>
      <c r="GE10" s="1" t="str">
        <f t="shared" si="11"/>
        <v>NODATA</v>
      </c>
      <c r="GF10" s="1" t="b" cm="1">
        <f t="array" ref="GF10">IF($V$2=TRUE,IF(CH28="Attack",ConvertToRoundTime(secandmin(BC28),secandmin(CJ28),BD28),""),"NO DATA")</f>
        <v>0</v>
      </c>
      <c r="GG10" s="1" t="b" cm="1">
        <f t="array" ref="GG10">IF($V$2=TRUE,IF(CH28="Attack",ConvertToRoundTime(secandmin(BE28),secandmin(CJ28),BF28),"")," NO DATA")</f>
        <v>0</v>
      </c>
    </row>
    <row r="11" spans="1:189" x14ac:dyDescent="0.25">
      <c r="A11" s="12" t="s">
        <v>14</v>
      </c>
      <c r="B11" s="2"/>
      <c r="C11" s="3"/>
      <c r="D11" s="2"/>
      <c r="E11" s="3"/>
      <c r="F11" s="2"/>
      <c r="G11" s="4"/>
      <c r="H11" s="5"/>
      <c r="I11" s="4"/>
      <c r="J11" s="5"/>
      <c r="K11" s="4"/>
      <c r="L11" s="5"/>
      <c r="M11" s="4"/>
      <c r="N11" s="5"/>
      <c r="O11" s="6"/>
      <c r="P11" s="7"/>
      <c r="Q11" s="6"/>
      <c r="R11" s="7"/>
      <c r="S11" s="6"/>
      <c r="T11" s="7"/>
      <c r="AB11" s="5">
        <v>5</v>
      </c>
      <c r="AC11" s="43" t="s">
        <v>430</v>
      </c>
      <c r="AD11" s="1" t="b">
        <v>0</v>
      </c>
      <c r="AE11" s="14" t="s">
        <v>428</v>
      </c>
      <c r="AF11" s="38"/>
      <c r="AG11" s="14"/>
      <c r="AH11" s="38"/>
      <c r="AJ11" s="5">
        <v>5</v>
      </c>
      <c r="AK11" s="43" t="s">
        <v>359</v>
      </c>
      <c r="AL11" s="1" t="b">
        <v>0</v>
      </c>
      <c r="AM11" s="14" t="s">
        <v>426</v>
      </c>
      <c r="AN11" s="38"/>
      <c r="AO11" s="14"/>
      <c r="AP11" s="38"/>
      <c r="AR11" s="5">
        <v>5</v>
      </c>
      <c r="AS11" s="43" t="s">
        <v>437</v>
      </c>
      <c r="AT11" s="1" t="b">
        <v>0</v>
      </c>
      <c r="AU11" s="14" t="s">
        <v>426</v>
      </c>
      <c r="AV11" s="38"/>
      <c r="AW11" s="14"/>
      <c r="AX11" s="38"/>
      <c r="AZ11" s="5">
        <v>5</v>
      </c>
      <c r="BA11" s="43" t="s">
        <v>440</v>
      </c>
      <c r="BB11" s="1" t="b">
        <v>0</v>
      </c>
      <c r="BC11" s="14" t="s">
        <v>426</v>
      </c>
      <c r="BD11" s="38"/>
      <c r="BE11" s="14"/>
      <c r="BF11" s="38"/>
      <c r="BH11" s="5">
        <v>5</v>
      </c>
      <c r="BI11" s="43" t="s">
        <v>400</v>
      </c>
      <c r="BJ11" s="1" t="b">
        <v>0</v>
      </c>
      <c r="BK11" s="14" t="s">
        <v>424</v>
      </c>
      <c r="BL11" s="38"/>
      <c r="BM11" s="14"/>
      <c r="BN11" s="38"/>
      <c r="BQ11" s="5">
        <v>5</v>
      </c>
      <c r="BR11" s="14"/>
      <c r="BS11" s="43"/>
      <c r="BT11" s="1" t="b">
        <v>0</v>
      </c>
      <c r="BU11" s="14"/>
      <c r="BV11" s="38"/>
      <c r="BW11" s="14"/>
      <c r="BX11" s="38"/>
      <c r="BY11" s="14"/>
      <c r="BZ11" s="5">
        <v>5</v>
      </c>
      <c r="CA11" s="14"/>
      <c r="CB11" s="43"/>
      <c r="CC11" s="1" t="b">
        <v>0</v>
      </c>
      <c r="CD11" s="14"/>
      <c r="CE11" s="38"/>
      <c r="CF11" s="14"/>
      <c r="CG11" s="38"/>
      <c r="CH11" s="14"/>
      <c r="CI11" s="5">
        <v>5</v>
      </c>
      <c r="CJ11" s="14"/>
      <c r="CK11" s="43"/>
      <c r="CL11" s="1" t="b">
        <v>0</v>
      </c>
      <c r="CM11" s="14"/>
      <c r="CN11" s="38"/>
      <c r="CO11" s="14"/>
      <c r="CP11" s="38"/>
      <c r="CQ11" s="14"/>
      <c r="CR11" s="5">
        <v>5</v>
      </c>
      <c r="CS11" s="14"/>
      <c r="CT11" s="43"/>
      <c r="CU11" s="1" t="b">
        <v>0</v>
      </c>
      <c r="CV11" s="14"/>
      <c r="CW11" s="38"/>
      <c r="CX11" s="14"/>
      <c r="CY11" s="38"/>
      <c r="CZ11" s="14"/>
      <c r="DA11" s="5">
        <v>5</v>
      </c>
      <c r="DB11" s="14"/>
      <c r="DC11" s="43"/>
      <c r="DD11" s="1" t="b">
        <v>0</v>
      </c>
      <c r="DE11" s="14"/>
      <c r="DF11" s="38"/>
      <c r="DG11" s="14"/>
      <c r="DH11" s="38"/>
      <c r="DI11" s="14"/>
      <c r="DP11" s="37"/>
      <c r="DQ11" s="48" t="str">
        <f ca="1">A2</f>
        <v>8_22 Skyscraper_1</v>
      </c>
      <c r="DR11" s="5">
        <v>5</v>
      </c>
      <c r="DS11" s="1" t="str">
        <v>Attack</v>
      </c>
      <c r="DT11" s="1" t="str">
        <f t="shared" si="2"/>
        <v>Candle</v>
      </c>
      <c r="DU11" s="1" t="str">
        <v>Twitch</v>
      </c>
      <c r="DV11" s="21" cm="1">
        <f t="array" ref="DV11">ConvertToRoundTime(secandmin(AC11),secandmin(CJ29),AD11)</f>
        <v>41</v>
      </c>
      <c r="DW11" s="1" t="str">
        <v>Kiru</v>
      </c>
      <c r="DX11" s="1" t="b" cm="1">
        <f t="array" ref="DX11">DeathRefragged(DV11,MAX(ES11,ES27,ES43,ES59,ES75,FA92),MAX(EZ11,EZ27,EZ43,EZ59,EZ75,FI92),MAX(FG11,FG27,FG43,FG59,FG75,FP92),MAX(FN11,FN27,FN43,FN59,FN75,FW92),MAX(FU11,FU27,FU43,FU59,FU75,GD92),$Q$2)</f>
        <v>0</v>
      </c>
      <c r="DY11" s="1" t="b" cm="1">
        <f t="array" ref="DY11">DeathTraded(DV11,DW11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0</v>
      </c>
      <c r="DZ11" s="1" t="b">
        <v>0</v>
      </c>
      <c r="EA11" s="1" t="str">
        <v>NOLOC</v>
      </c>
      <c r="EB11" s="1" t="b" cm="1">
        <f t="array" ref="EB11">OpeningDeath(MAX(ES11,ES27,ES43,ES59,ES75),DV11,DV27,DV43,DV59,DV75)</f>
        <v>0</v>
      </c>
      <c r="EC11" s="1" t="b" cm="1">
        <f t="array" ref="EC11">EntryDeath(DV11,DV27,DV43,DV59,DV75)</f>
        <v>0</v>
      </c>
      <c r="ED11" s="5">
        <v>5</v>
      </c>
      <c r="EE11" s="1">
        <f t="shared" si="3"/>
        <v>0</v>
      </c>
      <c r="EF11" s="1">
        <f t="shared" si="4"/>
        <v>0</v>
      </c>
      <c r="EG11" s="1">
        <f t="shared" si="5"/>
        <v>0</v>
      </c>
      <c r="EH11" s="1" cm="1">
        <f t="array" ref="EH11">ExitFrag(EN11,MAX(DV27,DV43,DV59,DV75),MAX(ES11,ES27,ES43,ES59,ES75,FA92),MAX(EZ11,EZ27,EZ43,EZ59,EZ75,FI92),MAX(FG11,FG27,FG43,FG59,FG75,FP92),MAX(FN11,FN27,FN43,FN59,FN75,FW92),MAX(FU11,FU27,FU43,FU59,FU75,GD92))</f>
        <v>0</v>
      </c>
      <c r="EI11" s="1" t="b" cm="1">
        <f t="array" ref="EI11">OpeningKill(ES11,ES27,ES43,ES59,ES75,FB92,DV11,DV27,DV43,DV59,DV75)</f>
        <v>0</v>
      </c>
      <c r="EJ11" s="1" t="b">
        <f t="shared" si="6"/>
        <v>0</v>
      </c>
      <c r="EK11" s="5">
        <v>5</v>
      </c>
      <c r="EL11" s="1" t="b">
        <v>0</v>
      </c>
      <c r="EM11" s="1" t="b" cm="1">
        <f t="array" ref="EM11">IF(NOT(ISBLANK(CP29)),KOST(EE11,DY11,DV11,EL11),"NOT PLAYED")</f>
        <v>0</v>
      </c>
      <c r="EN11" s="1" t="b" cm="1">
        <f t="array" ref="EN11">OneVX(DV27,DV43,DV59,DV75,DV11)</f>
        <v>0</v>
      </c>
      <c r="EO11" s="1" t="b">
        <f t="shared" si="7"/>
        <v>0</v>
      </c>
      <c r="EP11" s="1" t="str" cm="1">
        <f t="array" ref="EP11:EU11">DetermineKill(ConvertToRoundTime(secandmin(BS11),secandmin(CJ29),BT11),BR11,BV11,BW11,BU11,BY11,BX11,$O$2)</f>
        <v>NOLOC</v>
      </c>
      <c r="EQ11" s="1" t="b">
        <v>0</v>
      </c>
      <c r="ER11" s="1" t="b">
        <v>0</v>
      </c>
      <c r="ES11" s="1" t="b">
        <v>0</v>
      </c>
      <c r="ET11" s="1" t="b">
        <v>0</v>
      </c>
      <c r="EU11" s="1" t="b">
        <v>0</v>
      </c>
      <c r="EV11" s="1" t="str" cm="1">
        <f t="array" ref="EV11">DeathTraded(ES11,$O$2,DV11,$O$2,DV27,$O$3,DV43,$O$4,DV59,$O$5,DV75,$O$6,$R$2)</f>
        <v>N/A</v>
      </c>
      <c r="EW11" s="1" t="str" cm="1">
        <f t="array" ref="EW11:FB11">DetermineKill(ConvertToRoundTime(secandmin(CB11),secandmin(CJ29),CC11),CA11,CE11,CF11,CD11,CH11,CG11,$O$2)</f>
        <v>NOLOC</v>
      </c>
      <c r="EX11" s="1" t="b">
        <v>0</v>
      </c>
      <c r="EY11" s="1" t="b">
        <v>0</v>
      </c>
      <c r="EZ11" s="1" t="b">
        <v>0</v>
      </c>
      <c r="FA11" s="1" t="b">
        <v>0</v>
      </c>
      <c r="FB11" s="1" t="b">
        <v>0</v>
      </c>
      <c r="FC11" s="1" t="str" cm="1">
        <f t="array" ref="FC11">DeathTraded(EZ11,$O$2,DV11,$O$2,DV27,$O$3,DV43,$O$4,DV59,$O$5,DV75,$O$6,$R$2)</f>
        <v>N/A</v>
      </c>
      <c r="FD11" s="1" t="str" cm="1">
        <f t="array" ref="FD11:FI11">DetermineKill(ConvertToRoundTime(secandmin(CK11),secandmin(CJ29),CL11),CJ11,CN11,CO11,CM11,CQ11,CP11,$O$2)</f>
        <v>NOLOC</v>
      </c>
      <c r="FE11" s="1" t="b">
        <v>0</v>
      </c>
      <c r="FF11" s="1" t="b">
        <v>0</v>
      </c>
      <c r="FG11" s="1" t="b">
        <v>0</v>
      </c>
      <c r="FH11" s="1" t="b">
        <v>0</v>
      </c>
      <c r="FI11" s="1" t="b">
        <v>0</v>
      </c>
      <c r="FJ11" s="1" t="str" cm="1">
        <f t="array" ref="FJ11">DeathTraded(FG11,$O$2,DV11,$O$2,DV27,$O$3,DV43,$O$4,DV59,$O$5,DV75,$O$6,$R$2)</f>
        <v>N/A</v>
      </c>
      <c r="FK11" s="1" t="str" cm="1">
        <f t="array" ref="FK11:FP11">DetermineKill(ConvertToRoundTime(secandmin(CT11),secandmin(CJ29),CU11),CS11,CW11,CX11,CV11,CZ11,CY11,$O$2)</f>
        <v>NOLOC</v>
      </c>
      <c r="FL11" s="1" t="b">
        <v>0</v>
      </c>
      <c r="FM11" s="1" t="b">
        <v>0</v>
      </c>
      <c r="FN11" s="1" t="b">
        <v>0</v>
      </c>
      <c r="FO11" s="1" t="b">
        <v>0</v>
      </c>
      <c r="FP11" s="1" t="b">
        <v>0</v>
      </c>
      <c r="FQ11" s="1" t="str" cm="1">
        <f t="array" ref="FQ11">DeathTraded(FN11,$O$2,DV11,$O$2,DV27,$O$3,DV43,$O$4,DV59,$O$5,DV75,$O$6,$R$2)</f>
        <v>N/A</v>
      </c>
      <c r="FR11" s="1" t="str" cm="1">
        <f t="array" ref="FR11:FW11">DetermineKill(ConvertToRoundTime(secandmin(DC11),secandmin(CJ29),DD11),DB11,DF11,DG11,DE11,DI11,DH11,$O$2)</f>
        <v>NOLOC</v>
      </c>
      <c r="FS11" s="1" t="b">
        <v>0</v>
      </c>
      <c r="FT11" s="1" t="b">
        <v>0</v>
      </c>
      <c r="FU11" s="1" t="b">
        <v>0</v>
      </c>
      <c r="FV11" s="1" t="b">
        <v>0</v>
      </c>
      <c r="FW11" s="1" t="b">
        <v>0</v>
      </c>
      <c r="FX11" s="1" t="str" cm="1">
        <f t="array" ref="FX11">DeathTraded(FU11,$O$2,DV11,$O$2,DV27,$O$3,DV43,$O$4,DV59,$O$5,DV75,$O$6,$R$2)</f>
        <v>N/A</v>
      </c>
      <c r="FY11" s="5">
        <v>5</v>
      </c>
      <c r="FZ11" s="1">
        <f t="shared" si="8"/>
        <v>0</v>
      </c>
      <c r="GA11" s="21">
        <f t="shared" si="9"/>
        <v>0</v>
      </c>
      <c r="GB11" s="1" t="str">
        <f t="shared" si="0"/>
        <v>NODATA</v>
      </c>
      <c r="GC11" s="13" t="str">
        <f>IF($T$2=TRUE,IF(AND(ISBLANK(AP29),CH29="Defence"),0,IF(NOT(CH29="Defence"),"",AP29)),"NODATA")</f>
        <v>NODATA</v>
      </c>
      <c r="GD11" s="1" t="str">
        <f t="shared" si="10"/>
        <v>NODATA</v>
      </c>
      <c r="GE11" s="1" t="str">
        <f t="shared" si="11"/>
        <v>NODATA</v>
      </c>
      <c r="GF11" s="1" t="b" cm="1">
        <f t="array" ref="GF11">IF($V$2=TRUE,IF(CH29="Attack",ConvertToRoundTime(secandmin(BC29),secandmin(CJ29),BD29),""),"NO DATA")</f>
        <v>0</v>
      </c>
      <c r="GG11" s="1" t="b" cm="1">
        <f t="array" ref="GG11">IF($V$2=TRUE,IF(CH29="Attack",ConvertToRoundTime(secandmin(BE29),secandmin(CJ29),BF29),"")," NO DATA")</f>
        <v>0</v>
      </c>
    </row>
    <row r="12" spans="1:189" x14ac:dyDescent="0.25">
      <c r="A12" s="10" t="s">
        <v>15</v>
      </c>
      <c r="B12" s="2"/>
      <c r="C12" s="3"/>
      <c r="D12" s="2"/>
      <c r="E12" s="3"/>
      <c r="F12" s="2"/>
      <c r="G12" s="4"/>
      <c r="H12" s="5"/>
      <c r="I12" s="4"/>
      <c r="J12" s="5"/>
      <c r="K12" s="4"/>
      <c r="L12" s="5"/>
      <c r="M12" s="4"/>
      <c r="N12" s="5"/>
      <c r="O12" s="6"/>
      <c r="P12" s="7"/>
      <c r="Q12" s="6"/>
      <c r="R12" s="7"/>
      <c r="S12" s="6"/>
      <c r="T12" s="7"/>
      <c r="AB12" s="4">
        <v>6</v>
      </c>
      <c r="AC12" s="44" t="s">
        <v>394</v>
      </c>
      <c r="AD12" s="1" t="b">
        <v>0</v>
      </c>
      <c r="AE12" s="14" t="s">
        <v>424</v>
      </c>
      <c r="AF12" s="39"/>
      <c r="AG12" s="15"/>
      <c r="AH12" s="39"/>
      <c r="AJ12" s="4">
        <v>6</v>
      </c>
      <c r="AK12" s="44"/>
      <c r="AL12" s="1" t="b">
        <v>0</v>
      </c>
      <c r="AM12" s="14"/>
      <c r="AN12" s="39"/>
      <c r="AO12" s="15"/>
      <c r="AP12" s="39"/>
      <c r="AR12" s="4">
        <v>6</v>
      </c>
      <c r="AS12" s="44" t="s">
        <v>438</v>
      </c>
      <c r="AT12" s="1" t="b">
        <v>0</v>
      </c>
      <c r="AU12" s="14" t="s">
        <v>424</v>
      </c>
      <c r="AV12" s="39"/>
      <c r="AW12" s="15"/>
      <c r="AX12" s="39"/>
      <c r="AZ12" s="4">
        <v>6</v>
      </c>
      <c r="BA12" s="44" t="s">
        <v>442</v>
      </c>
      <c r="BB12" s="1" t="b">
        <v>0</v>
      </c>
      <c r="BC12" s="14" t="s">
        <v>424</v>
      </c>
      <c r="BD12" s="39"/>
      <c r="BE12" s="15"/>
      <c r="BF12" s="39"/>
      <c r="BH12" s="4">
        <v>6</v>
      </c>
      <c r="BI12" s="44" t="s">
        <v>444</v>
      </c>
      <c r="BJ12" s="1" t="b">
        <v>0</v>
      </c>
      <c r="BK12" s="14" t="s">
        <v>424</v>
      </c>
      <c r="BL12" s="39"/>
      <c r="BM12" s="15"/>
      <c r="BN12" s="39"/>
      <c r="BQ12" s="4">
        <v>6</v>
      </c>
      <c r="BR12" s="15" t="s">
        <v>369</v>
      </c>
      <c r="BS12" s="44" t="s">
        <v>386</v>
      </c>
      <c r="BT12" s="1" t="b">
        <v>0</v>
      </c>
      <c r="BU12" s="15"/>
      <c r="BV12" s="39"/>
      <c r="BW12" s="15" t="s">
        <v>427</v>
      </c>
      <c r="BX12" s="39"/>
      <c r="BY12" s="15" t="b">
        <v>1</v>
      </c>
      <c r="BZ12" s="4">
        <v>6</v>
      </c>
      <c r="CA12" s="15" t="s">
        <v>371</v>
      </c>
      <c r="CB12" s="44" t="s">
        <v>449</v>
      </c>
      <c r="CC12" s="1" t="b">
        <v>0</v>
      </c>
      <c r="CD12" s="15"/>
      <c r="CE12" s="39"/>
      <c r="CF12" s="15" t="s">
        <v>425</v>
      </c>
      <c r="CG12" s="39"/>
      <c r="CH12" s="15"/>
      <c r="CI12" s="4">
        <v>6</v>
      </c>
      <c r="CJ12" s="15" t="s">
        <v>370</v>
      </c>
      <c r="CK12" s="44" t="s">
        <v>429</v>
      </c>
      <c r="CL12" s="1" t="b">
        <v>0</v>
      </c>
      <c r="CM12" s="15"/>
      <c r="CN12" s="39"/>
      <c r="CO12" s="15" t="s">
        <v>426</v>
      </c>
      <c r="CP12" s="39"/>
      <c r="CQ12" s="15" t="b">
        <v>1</v>
      </c>
      <c r="CR12" s="4">
        <v>6</v>
      </c>
      <c r="CS12" s="15" t="s">
        <v>368</v>
      </c>
      <c r="CT12" s="44" t="s">
        <v>450</v>
      </c>
      <c r="CU12" s="1" t="b">
        <v>0</v>
      </c>
      <c r="CV12" s="15"/>
      <c r="CW12" s="39"/>
      <c r="CX12" s="15" t="s">
        <v>428</v>
      </c>
      <c r="CY12" s="39"/>
      <c r="CZ12" s="15"/>
      <c r="DA12" s="4">
        <v>6</v>
      </c>
      <c r="DB12" s="15"/>
      <c r="DC12" s="44"/>
      <c r="DD12" s="1" t="b">
        <v>0</v>
      </c>
      <c r="DE12" s="15"/>
      <c r="DF12" s="39"/>
      <c r="DG12" s="15"/>
      <c r="DH12" s="39"/>
      <c r="DI12" s="15"/>
      <c r="DP12" s="37"/>
      <c r="DQ12" s="48" t="str">
        <f ca="1">A2</f>
        <v>8_22 Skyscraper_1</v>
      </c>
      <c r="DR12" s="4">
        <v>6</v>
      </c>
      <c r="DS12" s="1" t="str">
        <v>Attack</v>
      </c>
      <c r="DT12" s="1" t="str">
        <f t="shared" si="2"/>
        <v>Candle</v>
      </c>
      <c r="DU12" s="1" t="str">
        <v>Sledge</v>
      </c>
      <c r="DV12" s="21" cm="1">
        <f t="array" ref="DV12">ConvertToRoundTime(secandmin(AC12),secandmin(CJ30),AD12)</f>
        <v>177</v>
      </c>
      <c r="DW12" s="1" t="str">
        <v>Floofs</v>
      </c>
      <c r="DX12" s="1" t="b" cm="1">
        <f t="array" ref="DX12">DeathRefragged(DV12,MAX(ES12,ES28,ES44,ES60,ES76,FA93),MAX(EZ12,EZ28,EZ44,EZ60,EZ76,FI93),MAX(FG12,FG28,FG44,FG60,FG76,FP93),MAX(FN12,FN28,FN44,FN60,FN76,FW93),MAX(FU12,FU28,FU44,FU60,FU76,GD93),$Q$2)</f>
        <v>0</v>
      </c>
      <c r="DY12" s="1" t="b" cm="1">
        <f t="array" ref="DY12">DeathTraded(DV12,DW12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0</v>
      </c>
      <c r="DZ12" s="1" t="b">
        <v>0</v>
      </c>
      <c r="EA12" s="1" t="str">
        <v>NOLOC</v>
      </c>
      <c r="EB12" s="1" t="b" cm="1">
        <f t="array" ref="EB12">OpeningDeath(MAX(ES12,ES28,ES44,ES60,ES76),DV12,DV28,DV44,DV60,DV76)</f>
        <v>0</v>
      </c>
      <c r="EC12" s="1" t="b" cm="1">
        <f t="array" ref="EC12">EntryDeath(DV12,DV28,DV44,DV60,DV76)</f>
        <v>0</v>
      </c>
      <c r="ED12" s="4">
        <v>6</v>
      </c>
      <c r="EE12" s="1">
        <f t="shared" si="3"/>
        <v>1</v>
      </c>
      <c r="EF12" s="1">
        <f t="shared" si="4"/>
        <v>0</v>
      </c>
      <c r="EG12" s="1">
        <f t="shared" si="5"/>
        <v>0</v>
      </c>
      <c r="EH12" s="1" cm="1">
        <f t="array" ref="EH12">ExitFrag(EN12,MAX(DV28,DV44,DV60,DV76),MAX(ES12,ES28,ES44,ES60,ES76,FA93),MAX(EZ12,EZ28,EZ44,EZ60,EZ76,FI93),MAX(FG12,FG28,FG44,FG60,FG76,FP93),MAX(FN12,FN28,FN44,FN60,FN76,FW93),MAX(FU12,FU28,FU44,FU60,FU76,GD93))</f>
        <v>0</v>
      </c>
      <c r="EI12" s="1" t="b" cm="1">
        <f t="array" ref="EI12">OpeningKill(ES12,ES28,ES44,ES60,ES76,FB93,DV12,DV28,DV44,DV60,DV76)</f>
        <v>0</v>
      </c>
      <c r="EJ12" s="1" t="b">
        <f t="shared" si="6"/>
        <v>0</v>
      </c>
      <c r="EK12" s="4">
        <v>6</v>
      </c>
      <c r="EL12" s="1" t="b">
        <v>0</v>
      </c>
      <c r="EM12" s="1" t="b" cm="1">
        <f t="array" ref="EM12">IF(NOT(ISBLANK(CP30)),KOST(EE12,DY12,DV12,EL12),"NOT PLAYED")</f>
        <v>1</v>
      </c>
      <c r="EN12" s="1" t="b" cm="1">
        <f t="array" ref="EN12">OneVX(DV28,DV44,DV60,DV76,DV12)</f>
        <v>0</v>
      </c>
      <c r="EO12" s="1" t="b">
        <f t="shared" si="7"/>
        <v>0</v>
      </c>
      <c r="EP12" s="1" t="str" cm="1">
        <f t="array" ref="EP12:EU12">DetermineKill(ConvertToRoundTime(secandmin(BS12),secandmin(CJ30),BT12),BR12,BV12,BW12,BU12,BY12,BX12,$O$2)</f>
        <v>NOLOC</v>
      </c>
      <c r="EQ12" s="1" t="b">
        <v>0</v>
      </c>
      <c r="ER12" s="1" t="b">
        <v>0</v>
      </c>
      <c r="ES12" s="1" t="b">
        <v>0</v>
      </c>
      <c r="ET12" s="1" t="b">
        <v>0</v>
      </c>
      <c r="EU12" s="1" t="b">
        <v>0</v>
      </c>
      <c r="EV12" s="1" t="str" cm="1">
        <f t="array" ref="EV12">DeathTraded(ES12,$O$2,DV12,$O$2,DV28,$O$3,DV44,$O$4,DV60,$O$5,DV76,$O$6,$R$2)</f>
        <v>N/A</v>
      </c>
      <c r="EW12" s="1" t="str" cm="1">
        <f t="array" ref="EW12:FB12">DetermineKill(ConvertToRoundTime(secandmin(CB12),secandmin(CJ30),CC12),CA12,CE12,CF12,CD12,CH12,CG12,$O$2)</f>
        <v>NOLOC</v>
      </c>
      <c r="EX12" s="1" t="b">
        <v>0</v>
      </c>
      <c r="EY12" s="1" t="b">
        <v>0</v>
      </c>
      <c r="EZ12" s="1" t="b">
        <v>0</v>
      </c>
      <c r="FA12" s="1" t="b">
        <v>0</v>
      </c>
      <c r="FB12" s="1" t="b">
        <v>0</v>
      </c>
      <c r="FC12" s="1" t="str" cm="1">
        <f t="array" ref="FC12">DeathTraded(EZ12,$O$2,DV12,$O$2,DV28,$O$3,DV44,$O$4,DV60,$O$5,DV76,$O$6,$R$2)</f>
        <v>N/A</v>
      </c>
      <c r="FD12" s="1" t="str" cm="1">
        <f t="array" ref="FD12:FI12">DetermineKill(ConvertToRoundTime(secandmin(CK12),secandmin(CJ30),CL12),CJ12,CN12,CO12,CM12,CQ12,CP12,$O$2)</f>
        <v>NOLOC</v>
      </c>
      <c r="FE12" s="1" t="b">
        <v>0</v>
      </c>
      <c r="FF12" s="1" t="b">
        <v>0</v>
      </c>
      <c r="FG12" s="1" t="b">
        <v>0</v>
      </c>
      <c r="FH12" s="1" t="b">
        <v>0</v>
      </c>
      <c r="FI12" s="1" t="b">
        <v>0</v>
      </c>
      <c r="FJ12" s="1" t="str" cm="1">
        <f t="array" ref="FJ12">DeathTraded(FG12,$O$2,DV12,$O$2,DV28,$O$3,DV44,$O$4,DV60,$O$5,DV76,$O$6,$R$2)</f>
        <v>N/A</v>
      </c>
      <c r="FK12" s="1" t="str" cm="1">
        <f t="array" ref="FK12:FP12">DetermineKill(ConvertToRoundTime(secandmin(CT12),secandmin(CJ30),CU12),CS12,CW12,CX12,CV12,CZ12,CY12,$O$2)</f>
        <v>UNKNOWN</v>
      </c>
      <c r="FL12" s="1" t="b">
        <v>0</v>
      </c>
      <c r="FM12" s="1" t="str">
        <v>Kiru</v>
      </c>
      <c r="FN12" s="1">
        <v>139</v>
      </c>
      <c r="FO12" s="1" t="b">
        <v>0</v>
      </c>
      <c r="FP12" s="1" t="b">
        <v>0</v>
      </c>
      <c r="FQ12" s="1" t="b" cm="1">
        <f t="array" ref="FQ12">DeathTraded(FN12,$O$2,DV12,$O$2,DV28,$O$3,DV44,$O$4,DV60,$O$5,DV76,$O$6,$R$2)</f>
        <v>0</v>
      </c>
      <c r="FR12" s="1" t="str" cm="1">
        <f t="array" ref="FR12:FW12">DetermineKill(ConvertToRoundTime(secandmin(DC12),secandmin(CJ30),DD12),DB12,DF12,DG12,DE12,DI12,DH12,$O$2)</f>
        <v>NOLOC</v>
      </c>
      <c r="FS12" s="1" t="b">
        <v>0</v>
      </c>
      <c r="FT12" s="1" t="b">
        <v>0</v>
      </c>
      <c r="FU12" s="1" t="b">
        <v>0</v>
      </c>
      <c r="FV12" s="1" t="b">
        <v>0</v>
      </c>
      <c r="FW12" s="1" t="b">
        <v>0</v>
      </c>
      <c r="FX12" s="1" t="str" cm="1">
        <f t="array" ref="FX12">DeathTraded(FU12,$O$2,DV12,$O$2,DV28,$O$3,DV44,$O$4,DV60,$O$5,DV76,$O$6,$R$2)</f>
        <v>N/A</v>
      </c>
      <c r="FY12" s="4">
        <v>6</v>
      </c>
      <c r="FZ12" s="1">
        <f t="shared" si="8"/>
        <v>0</v>
      </c>
      <c r="GA12" s="21">
        <f t="shared" si="9"/>
        <v>0</v>
      </c>
      <c r="GB12" s="1" t="str">
        <f t="shared" si="0"/>
        <v>NODATA</v>
      </c>
      <c r="GC12" s="13" t="str">
        <f t="shared" si="1"/>
        <v>NODATA</v>
      </c>
      <c r="GD12" s="1" t="str">
        <f t="shared" si="10"/>
        <v>NODATA</v>
      </c>
      <c r="GE12" s="1" t="str">
        <f t="shared" si="11"/>
        <v>NODATA</v>
      </c>
      <c r="GF12" s="1" t="b" cm="1">
        <f t="array" ref="GF12">IF($V$2=TRUE,IF(CH30="Attack",ConvertToRoundTime(secandmin(BC30),secandmin(CJ30),BD30),""),"NO DATA")</f>
        <v>0</v>
      </c>
      <c r="GG12" s="1" t="b" cm="1">
        <f t="array" ref="GG12">IF($V$2=TRUE,IF(CH30="Attack",ConvertToRoundTime(secandmin(BE30),secandmin(CJ30),BF30),"")," NO DATA")</f>
        <v>0</v>
      </c>
    </row>
    <row r="13" spans="1:189" x14ac:dyDescent="0.25">
      <c r="A13" s="13" t="s">
        <v>16</v>
      </c>
      <c r="B13" s="2"/>
      <c r="C13" s="3"/>
      <c r="D13" s="2"/>
      <c r="E13" s="3"/>
      <c r="F13" s="2"/>
      <c r="G13" s="4"/>
      <c r="H13" s="5"/>
      <c r="I13" s="4"/>
      <c r="J13" s="5"/>
      <c r="K13" s="4"/>
      <c r="L13" s="5"/>
      <c r="M13" s="4"/>
      <c r="N13" s="5"/>
      <c r="O13" s="6"/>
      <c r="P13" s="7"/>
      <c r="Q13" s="6"/>
      <c r="R13" s="7"/>
      <c r="S13" s="6"/>
      <c r="T13" s="7"/>
      <c r="AB13" s="5">
        <v>7</v>
      </c>
      <c r="AC13" s="43" t="s">
        <v>431</v>
      </c>
      <c r="AD13" s="1" t="b">
        <v>0</v>
      </c>
      <c r="AE13" s="14" t="s">
        <v>428</v>
      </c>
      <c r="AF13" s="38"/>
      <c r="AG13" s="14"/>
      <c r="AH13" s="38"/>
      <c r="AJ13" s="5">
        <v>7</v>
      </c>
      <c r="AK13" s="43" t="s">
        <v>387</v>
      </c>
      <c r="AL13" s="1" t="b">
        <v>0</v>
      </c>
      <c r="AM13" s="14" t="s">
        <v>428</v>
      </c>
      <c r="AN13" s="38"/>
      <c r="AO13" s="14"/>
      <c r="AP13" s="38"/>
      <c r="AR13" s="5">
        <v>7</v>
      </c>
      <c r="AS13" s="43"/>
      <c r="AT13" s="1" t="b">
        <v>0</v>
      </c>
      <c r="AU13" s="14"/>
      <c r="AV13" s="38"/>
      <c r="AW13" s="14"/>
      <c r="AX13" s="38"/>
      <c r="AZ13" s="5">
        <v>7</v>
      </c>
      <c r="BA13" s="43" t="s">
        <v>376</v>
      </c>
      <c r="BB13" s="1" t="b">
        <v>0</v>
      </c>
      <c r="BC13" s="14" t="s">
        <v>428</v>
      </c>
      <c r="BD13" s="38"/>
      <c r="BE13" s="14"/>
      <c r="BF13" s="38"/>
      <c r="BH13" s="5">
        <v>7</v>
      </c>
      <c r="BI13" s="43" t="s">
        <v>402</v>
      </c>
      <c r="BJ13" s="1" t="b">
        <v>0</v>
      </c>
      <c r="BK13" s="14" t="s">
        <v>428</v>
      </c>
      <c r="BL13" s="38"/>
      <c r="BM13" s="14"/>
      <c r="BN13" s="38"/>
      <c r="BQ13" s="5">
        <v>7</v>
      </c>
      <c r="BR13" s="14" t="s">
        <v>372</v>
      </c>
      <c r="BS13" s="43" t="s">
        <v>451</v>
      </c>
      <c r="BT13" s="1" t="b">
        <v>0</v>
      </c>
      <c r="BU13" s="14"/>
      <c r="BV13" s="38"/>
      <c r="BW13" s="14" t="s">
        <v>425</v>
      </c>
      <c r="BX13" s="38"/>
      <c r="BY13" s="14"/>
      <c r="BZ13" s="5">
        <v>7</v>
      </c>
      <c r="CA13" s="14" t="s">
        <v>369</v>
      </c>
      <c r="CB13" s="43" t="s">
        <v>379</v>
      </c>
      <c r="CC13" s="1" t="b">
        <v>0</v>
      </c>
      <c r="CD13" s="14"/>
      <c r="CE13" s="38"/>
      <c r="CF13" s="14" t="s">
        <v>427</v>
      </c>
      <c r="CG13" s="38"/>
      <c r="CH13" s="14" t="b">
        <v>1</v>
      </c>
      <c r="CI13" s="5">
        <v>7</v>
      </c>
      <c r="CJ13" s="14" t="s">
        <v>369</v>
      </c>
      <c r="CK13" s="43" t="s">
        <v>388</v>
      </c>
      <c r="CL13" s="1" t="b">
        <v>0</v>
      </c>
      <c r="CM13" s="14"/>
      <c r="CN13" s="38"/>
      <c r="CO13" s="14" t="s">
        <v>424</v>
      </c>
      <c r="CP13" s="38"/>
      <c r="CQ13" s="14" t="b">
        <v>1</v>
      </c>
      <c r="CR13" s="5">
        <v>7</v>
      </c>
      <c r="CS13" s="14" t="s">
        <v>369</v>
      </c>
      <c r="CT13" s="43" t="s">
        <v>452</v>
      </c>
      <c r="CU13" s="1" t="b">
        <v>0</v>
      </c>
      <c r="CV13" s="14"/>
      <c r="CW13" s="38"/>
      <c r="CX13" s="14" t="s">
        <v>426</v>
      </c>
      <c r="CY13" s="38"/>
      <c r="CZ13" s="14" t="b">
        <v>1</v>
      </c>
      <c r="DA13" s="5">
        <v>7</v>
      </c>
      <c r="DB13" s="14" t="s">
        <v>371</v>
      </c>
      <c r="DC13" s="43" t="s">
        <v>389</v>
      </c>
      <c r="DD13" s="1" t="b">
        <v>0</v>
      </c>
      <c r="DE13" s="14"/>
      <c r="DF13" s="38"/>
      <c r="DG13" s="14" t="s">
        <v>428</v>
      </c>
      <c r="DH13" s="38"/>
      <c r="DI13" s="14"/>
      <c r="DP13" s="37"/>
      <c r="DQ13" s="48" t="str">
        <f ca="1">A2</f>
        <v>8_22 Skyscraper_1</v>
      </c>
      <c r="DR13" s="5">
        <v>7</v>
      </c>
      <c r="DS13" s="1" t="str">
        <v>Defense</v>
      </c>
      <c r="DT13" s="1" t="str">
        <f t="shared" si="2"/>
        <v>Candle</v>
      </c>
      <c r="DU13" s="1" t="str">
        <v>Lesion</v>
      </c>
      <c r="DV13" s="21" cm="1">
        <f t="array" ref="DV13">ConvertToRoundTime(secandmin(AC13),secandmin(CJ31),AD13)</f>
        <v>147</v>
      </c>
      <c r="DW13" s="1" t="str">
        <v>Kiru</v>
      </c>
      <c r="DX13" s="1" t="b" cm="1">
        <f t="array" ref="DX13">DeathRefragged(DV13,MAX(ES13,ES29,ES45,ES61,ES77,FA94),MAX(EZ13,EZ29,EZ45,EZ61,EZ77,FI94),MAX(FG13,FG29,FG45,FG61,FG77,FP94),MAX(FN13,FN29,FN45,FN61,FN77,FW94),MAX(FU13,FU29,FU45,FU61,FU77,GD94),$Q$2)</f>
        <v>0</v>
      </c>
      <c r="DY13" s="1" t="b" cm="1">
        <f t="array" ref="DY13">DeathTraded(DV13,DW13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13" s="1" t="b">
        <v>0</v>
      </c>
      <c r="EA13" s="1" t="str">
        <v>NOLOC</v>
      </c>
      <c r="EB13" s="1" t="b" cm="1">
        <f t="array" ref="EB13">OpeningDeath(MAX(ES13,ES29,ES45,ES61,ES77),DV13,DV29,DV45,DV61,DV77)</f>
        <v>0</v>
      </c>
      <c r="EC13" s="1" t="b" cm="1">
        <f t="array" ref="EC13">EntryDeath(DV13,DV29,DV45,DV61,DV77)</f>
        <v>0</v>
      </c>
      <c r="ED13" s="5">
        <v>7</v>
      </c>
      <c r="EE13" s="1">
        <f t="shared" si="3"/>
        <v>0</v>
      </c>
      <c r="EF13" s="1">
        <f t="shared" si="4"/>
        <v>0</v>
      </c>
      <c r="EG13" s="1">
        <f t="shared" si="5"/>
        <v>0</v>
      </c>
      <c r="EH13" s="1" cm="1">
        <f t="array" ref="EH13">ExitFrag(EN13,MAX(DV29,DV45,DV61,DV77),MAX(ES13,ES29,ES45,ES61,ES77,FA94),MAX(EZ13,EZ29,EZ45,EZ61,EZ77,FI94),MAX(FG13,FG29,FG45,FG61,FG77,FP94),MAX(FN13,FN29,FN45,FN61,FN77,FW94),MAX(FU13,FU29,FU45,FU61,FU77,GD94))</f>
        <v>0</v>
      </c>
      <c r="EI13" s="1" t="b" cm="1">
        <f t="array" ref="EI13">OpeningKill(ES13,ES29,ES45,ES61,ES77,FB94,DV13,DV29,DV45,DV61,DV77)</f>
        <v>0</v>
      </c>
      <c r="EJ13" s="1" t="b">
        <f t="shared" si="6"/>
        <v>0</v>
      </c>
      <c r="EK13" s="5">
        <v>7</v>
      </c>
      <c r="EL13" s="1" t="b">
        <v>0</v>
      </c>
      <c r="EM13" s="1" t="b" cm="1">
        <f t="array" ref="EM13">IF(NOT(ISBLANK(CP31)),KOST(EE13,DY13,DV13,EL13),"NOT PLAYED")</f>
        <v>1</v>
      </c>
      <c r="EN13" s="1" t="b" cm="1">
        <f t="array" ref="EN13">OneVX(DV29,DV45,DV61,DV77,DV13)</f>
        <v>0</v>
      </c>
      <c r="EO13" s="1" t="b">
        <f t="shared" si="7"/>
        <v>0</v>
      </c>
      <c r="EP13" s="1" t="str" cm="1">
        <f t="array" ref="EP13:EU13">DetermineKill(ConvertToRoundTime(secandmin(BS13),secandmin(CJ31),BT13),BR13,BV13,BW13,BU13,BY13,BX13,$O$2)</f>
        <v>NOLOC</v>
      </c>
      <c r="EQ13" s="1" t="b">
        <v>0</v>
      </c>
      <c r="ER13" s="1" t="b">
        <v>0</v>
      </c>
      <c r="ES13" s="1" t="b">
        <v>0</v>
      </c>
      <c r="ET13" s="1" t="b">
        <v>0</v>
      </c>
      <c r="EU13" s="1" t="b">
        <v>0</v>
      </c>
      <c r="EV13" s="1" t="str" cm="1">
        <f t="array" ref="EV13">DeathTraded(ES13,$O$2,DV13,$O$2,DV29,$O$3,DV45,$O$4,DV61,$O$5,DV77,$O$6,$R$2)</f>
        <v>N/A</v>
      </c>
      <c r="EW13" s="1" t="str" cm="1">
        <f t="array" ref="EW13:FB13">DetermineKill(ConvertToRoundTime(secandmin(CB13),secandmin(CJ31),CC13),CA13,CE13,CF13,CD13,CH13,CG13,$O$2)</f>
        <v>NOLOC</v>
      </c>
      <c r="EX13" s="1" t="b">
        <v>0</v>
      </c>
      <c r="EY13" s="1" t="b">
        <v>0</v>
      </c>
      <c r="EZ13" s="1" t="b">
        <v>0</v>
      </c>
      <c r="FA13" s="1" t="b">
        <v>0</v>
      </c>
      <c r="FB13" s="1" t="b">
        <v>0</v>
      </c>
      <c r="FC13" s="1" t="str" cm="1">
        <f t="array" ref="FC13">DeathTraded(EZ13,$O$2,DV13,$O$2,DV29,$O$3,DV45,$O$4,DV61,$O$5,DV77,$O$6,$R$2)</f>
        <v>N/A</v>
      </c>
      <c r="FD13" s="1" t="str" cm="1">
        <f t="array" ref="FD13:FI13">DetermineKill(ConvertToRoundTime(secandmin(CK13),secandmin(CJ31),CL13),CJ13,CN13,CO13,CM13,CQ13,CP13,$O$2)</f>
        <v>NOLOC</v>
      </c>
      <c r="FE13" s="1" t="b">
        <v>0</v>
      </c>
      <c r="FF13" s="1" t="b">
        <v>0</v>
      </c>
      <c r="FG13" s="1" t="b">
        <v>0</v>
      </c>
      <c r="FH13" s="1" t="b">
        <v>0</v>
      </c>
      <c r="FI13" s="1" t="b">
        <v>0</v>
      </c>
      <c r="FJ13" s="1" t="str" cm="1">
        <f t="array" ref="FJ13">DeathTraded(FG13,$O$2,DV13,$O$2,DV29,$O$3,DV45,$O$4,DV61,$O$5,DV77,$O$6,$R$2)</f>
        <v>N/A</v>
      </c>
      <c r="FK13" s="1" t="str" cm="1">
        <f t="array" ref="FK13:FP13">DetermineKill(ConvertToRoundTime(secandmin(CT13),secandmin(CJ31),CU13),CS13,CW13,CX13,CV13,CZ13,CY13,$O$2)</f>
        <v>NOLOC</v>
      </c>
      <c r="FL13" s="1" t="b">
        <v>0</v>
      </c>
      <c r="FM13" s="1" t="b">
        <v>0</v>
      </c>
      <c r="FN13" s="1" t="b">
        <v>0</v>
      </c>
      <c r="FO13" s="1" t="b">
        <v>0</v>
      </c>
      <c r="FP13" s="1" t="b">
        <v>0</v>
      </c>
      <c r="FQ13" s="1" t="str" cm="1">
        <f t="array" ref="FQ13">DeathTraded(FN13,$O$2,DV13,$O$2,DV29,$O$3,DV45,$O$4,DV61,$O$5,DV77,$O$6,$R$2)</f>
        <v>N/A</v>
      </c>
      <c r="FR13" s="1" t="str" cm="1">
        <f t="array" ref="FR13:FW13">DetermineKill(ConvertToRoundTime(secandmin(DC13),secandmin(CJ31),DD13),DB13,DF13,DG13,DE13,DI13,DH13,$O$2)</f>
        <v>NOLOC</v>
      </c>
      <c r="FS13" s="1" t="b">
        <v>0</v>
      </c>
      <c r="FT13" s="1" t="b">
        <v>0</v>
      </c>
      <c r="FU13" s="1" t="b">
        <v>0</v>
      </c>
      <c r="FV13" s="1" t="b">
        <v>0</v>
      </c>
      <c r="FW13" s="1" t="b">
        <v>0</v>
      </c>
      <c r="FX13" s="1" t="str" cm="1">
        <f t="array" ref="FX13">DeathTraded(FU13,$O$2,DV13,$O$2,DV29,$O$3,DV45,$O$4,DV61,$O$5,DV77,$O$6,$R$2)</f>
        <v>N/A</v>
      </c>
      <c r="FY13" s="5">
        <v>7</v>
      </c>
      <c r="FZ13" s="1">
        <f t="shared" si="8"/>
        <v>0</v>
      </c>
      <c r="GA13" s="21">
        <f t="shared" si="9"/>
        <v>0</v>
      </c>
      <c r="GB13" s="1" t="str">
        <f t="shared" si="0"/>
        <v>NODATA</v>
      </c>
      <c r="GC13" s="13" t="str">
        <f t="shared" si="1"/>
        <v>NODATA</v>
      </c>
      <c r="GD13" s="1" t="str">
        <f t="shared" si="10"/>
        <v>NODATA</v>
      </c>
      <c r="GE13" s="1" t="str">
        <f t="shared" si="11"/>
        <v>NODATA</v>
      </c>
      <c r="GF13" s="1" t="str" cm="1">
        <f t="array" ref="GF13">IF($V$2=TRUE,IF(CH31="Attack",ConvertToRoundTime(secandmin(BC31),secandmin(CJ31),BD31),""),"NO DATA")</f>
        <v/>
      </c>
      <c r="GG13" s="1" t="str" cm="1">
        <f t="array" ref="GG13">IF($V$2=TRUE,IF(CH31="Attack",ConvertToRoundTime(secandmin(BE31),secandmin(CJ31),BF31),"")," NO DATA")</f>
        <v/>
      </c>
    </row>
    <row r="14" spans="1:189" x14ac:dyDescent="0.25">
      <c r="AB14" s="4">
        <v>8</v>
      </c>
      <c r="AC14" s="44"/>
      <c r="AD14" s="1" t="b">
        <v>0</v>
      </c>
      <c r="AE14" s="14"/>
      <c r="AF14" s="39"/>
      <c r="AG14" s="15"/>
      <c r="AH14" s="39"/>
      <c r="AJ14" s="4">
        <v>8</v>
      </c>
      <c r="AK14" s="44"/>
      <c r="AL14" s="1" t="b">
        <v>0</v>
      </c>
      <c r="AM14" s="14"/>
      <c r="AN14" s="39"/>
      <c r="AO14" s="15"/>
      <c r="AP14" s="39"/>
      <c r="AR14" s="4">
        <v>8</v>
      </c>
      <c r="AS14" s="44" t="s">
        <v>388</v>
      </c>
      <c r="AT14" s="1" t="b">
        <v>0</v>
      </c>
      <c r="AU14" s="14" t="s">
        <v>425</v>
      </c>
      <c r="AV14" s="39"/>
      <c r="AW14" s="15"/>
      <c r="AX14" s="39"/>
      <c r="AZ14" s="4">
        <v>8</v>
      </c>
      <c r="BA14" s="44"/>
      <c r="BB14" s="1" t="b">
        <v>0</v>
      </c>
      <c r="BC14" s="14"/>
      <c r="BD14" s="39"/>
      <c r="BE14" s="15"/>
      <c r="BF14" s="39"/>
      <c r="BH14" s="4">
        <v>8</v>
      </c>
      <c r="BI14" s="44"/>
      <c r="BJ14" s="1" t="b">
        <v>0</v>
      </c>
      <c r="BK14" s="14"/>
      <c r="BL14" s="39"/>
      <c r="BM14" s="15"/>
      <c r="BN14" s="39"/>
      <c r="BQ14" s="4">
        <v>8</v>
      </c>
      <c r="BR14" s="15" t="s">
        <v>369</v>
      </c>
      <c r="BS14" s="44" t="s">
        <v>399</v>
      </c>
      <c r="BT14" s="1" t="b">
        <v>0</v>
      </c>
      <c r="BU14" s="15"/>
      <c r="BV14" s="39"/>
      <c r="BW14" s="15" t="s">
        <v>426</v>
      </c>
      <c r="BX14" s="39"/>
      <c r="BY14" s="15" t="b">
        <v>1</v>
      </c>
      <c r="BZ14" s="4">
        <v>8</v>
      </c>
      <c r="CA14" s="15" t="s">
        <v>369</v>
      </c>
      <c r="CB14" s="44" t="s">
        <v>453</v>
      </c>
      <c r="CC14" s="1" t="b">
        <v>0</v>
      </c>
      <c r="CD14" s="15"/>
      <c r="CE14" s="39"/>
      <c r="CF14" s="15" t="s">
        <v>427</v>
      </c>
      <c r="CG14" s="39"/>
      <c r="CH14" s="15"/>
      <c r="CI14" s="4">
        <v>8</v>
      </c>
      <c r="CJ14" s="15" t="s">
        <v>368</v>
      </c>
      <c r="CK14" s="44" t="s">
        <v>454</v>
      </c>
      <c r="CL14" s="1" t="b">
        <v>0</v>
      </c>
      <c r="CM14" s="15"/>
      <c r="CN14" s="39"/>
      <c r="CO14" s="15" t="s">
        <v>424</v>
      </c>
      <c r="CP14" s="39"/>
      <c r="CQ14" s="15" t="b">
        <v>1</v>
      </c>
      <c r="CR14" s="4">
        <v>8</v>
      </c>
      <c r="CS14" s="15" t="s">
        <v>369</v>
      </c>
      <c r="CT14" s="44" t="s">
        <v>377</v>
      </c>
      <c r="CU14" s="1" t="b">
        <v>0</v>
      </c>
      <c r="CV14" s="15"/>
      <c r="CW14" s="39"/>
      <c r="CX14" s="15" t="s">
        <v>428</v>
      </c>
      <c r="CY14" s="39"/>
      <c r="CZ14" s="15"/>
      <c r="DA14" s="4">
        <v>8</v>
      </c>
      <c r="DB14" s="15" t="s">
        <v>372</v>
      </c>
      <c r="DC14" s="44" t="s">
        <v>396</v>
      </c>
      <c r="DD14" s="1" t="b">
        <v>0</v>
      </c>
      <c r="DE14" s="15"/>
      <c r="DF14" s="39"/>
      <c r="DG14" s="15" t="s">
        <v>425</v>
      </c>
      <c r="DH14" s="39"/>
      <c r="DI14" s="15" t="b">
        <v>1</v>
      </c>
      <c r="DP14" s="37"/>
      <c r="DQ14" s="48" t="str">
        <f ca="1">A2</f>
        <v>8_22 Skyscraper_1</v>
      </c>
      <c r="DR14" s="4">
        <v>8</v>
      </c>
      <c r="DS14" s="1" t="str">
        <v>Defense</v>
      </c>
      <c r="DT14" s="1" t="str">
        <f t="shared" si="2"/>
        <v>Candle</v>
      </c>
      <c r="DU14" s="1" t="str">
        <v>Kaid</v>
      </c>
      <c r="DV14" s="21" t="b" cm="1">
        <f t="array" ref="DV14">ConvertToRoundTime(secandmin(AC14),secandmin(CJ32),AD14)</f>
        <v>0</v>
      </c>
      <c r="DW14" s="1" t="b">
        <v>0</v>
      </c>
      <c r="DX14" s="1" t="str" cm="1">
        <f t="array" ref="DX14">DeathRefragged(DV14,MAX(ES14,ES30,ES46,ES62,ES78,FA95),MAX(EZ14,EZ30,EZ46,EZ62,EZ78,FI95),MAX(FG14,FG30,FG46,FG62,FG78,FP95),MAX(FN14,FN30,FN46,FN62,FN78,FW95),MAX(FU14,FU30,FU46,FU62,FU78,GD95),$Q$2)</f>
        <v>N/A</v>
      </c>
      <c r="DY14" s="1" t="str" cm="1">
        <f t="array" ref="DY14">DeathTraded(DV14,DW14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14" s="1" t="b">
        <v>0</v>
      </c>
      <c r="EA14" s="1" t="str">
        <v>NOLOC</v>
      </c>
      <c r="EB14" s="1" t="b" cm="1">
        <f t="array" ref="EB14">OpeningDeath(MAX(ES14,ES30,ES46,ES62,ES78),DV14,DV30,DV46,DV62,DV78)</f>
        <v>0</v>
      </c>
      <c r="EC14" s="1" t="b" cm="1">
        <f t="array" ref="EC14">EntryDeath(DV14,DV30,DV46,DV62,DV78)</f>
        <v>0</v>
      </c>
      <c r="ED14" s="4">
        <v>8</v>
      </c>
      <c r="EE14" s="1">
        <f t="shared" si="3"/>
        <v>1</v>
      </c>
      <c r="EF14" s="1">
        <f t="shared" si="4"/>
        <v>1</v>
      </c>
      <c r="EG14" s="1">
        <f t="shared" si="5"/>
        <v>0</v>
      </c>
      <c r="EH14" s="1" cm="1">
        <f t="array" ref="EH14">ExitFrag(EN14,MAX(DV30,DV46,DV62,DV78),MAX(ES14,ES30,ES46,ES62,ES78,FA95),MAX(EZ14,EZ30,EZ46,EZ62,EZ78,FI95),MAX(FG14,FG30,FG46,FG62,FG78,FP95),MAX(FN14,FN30,FN46,FN62,FN78,FW95),MAX(FU14,FU30,FU46,FU62,FU78,GD95))</f>
        <v>0</v>
      </c>
      <c r="EI14" s="1" t="b" cm="1">
        <f t="array" ref="EI14">OpeningKill(ES14,ES30,ES46,ES62,ES78,FB95,DV14,DV30,DV46,DV62,DV78)</f>
        <v>0</v>
      </c>
      <c r="EJ14" s="1" t="b">
        <f t="shared" si="6"/>
        <v>0</v>
      </c>
      <c r="EK14" s="4">
        <v>8</v>
      </c>
      <c r="EL14" s="1" t="b">
        <v>0</v>
      </c>
      <c r="EM14" s="1" t="b" cm="1">
        <f t="array" ref="EM14">IF(NOT(ISBLANK(CP32)),KOST(EE14,DY14,DV14,EL14),"NOT PLAYED")</f>
        <v>1</v>
      </c>
      <c r="EN14" s="1" t="b" cm="1">
        <f t="array" ref="EN14">OneVX(DV30,DV46,DV62,DV78,DV14)</f>
        <v>0</v>
      </c>
      <c r="EO14" s="1" t="b">
        <f t="shared" si="7"/>
        <v>0</v>
      </c>
      <c r="EP14" s="1" t="str" cm="1">
        <f t="array" ref="EP14:EU14">DetermineKill(ConvertToRoundTime(secandmin(BS14),secandmin(CJ32),BT14),BR14,BV14,BW14,BU14,BY14,BX14,$O$2)</f>
        <v>NOLOC</v>
      </c>
      <c r="EQ14" s="1" t="b">
        <v>0</v>
      </c>
      <c r="ER14" s="1" t="b">
        <v>0</v>
      </c>
      <c r="ES14" s="1" t="b">
        <v>0</v>
      </c>
      <c r="ET14" s="1" t="b">
        <v>0</v>
      </c>
      <c r="EU14" s="1" t="b">
        <v>0</v>
      </c>
      <c r="EV14" s="1" t="str" cm="1">
        <f t="array" ref="EV14">DeathTraded(ES14,$O$2,DV14,$O$2,DV30,$O$3,DV46,$O$4,DV62,$O$5,DV78,$O$6,$R$2)</f>
        <v>N/A</v>
      </c>
      <c r="EW14" s="1" t="str" cm="1">
        <f t="array" ref="EW14:FB14">DetermineKill(ConvertToRoundTime(secandmin(CB14),secandmin(CJ32),CC14),CA14,CE14,CF14,CD14,CH14,CG14,$O$2)</f>
        <v>NOLOC</v>
      </c>
      <c r="EX14" s="1" t="b">
        <v>0</v>
      </c>
      <c r="EY14" s="1" t="b">
        <v>0</v>
      </c>
      <c r="EZ14" s="1" t="b">
        <v>0</v>
      </c>
      <c r="FA14" s="1" t="b">
        <v>0</v>
      </c>
      <c r="FB14" s="1" t="b">
        <v>0</v>
      </c>
      <c r="FC14" s="1" t="str" cm="1">
        <f t="array" ref="FC14">DeathTraded(EZ14,$O$2,DV14,$O$2,DV30,$O$3,DV46,$O$4,DV62,$O$5,DV78,$O$6,$R$2)</f>
        <v>N/A</v>
      </c>
      <c r="FD14" s="1" t="str" cm="1">
        <f t="array" ref="FD14:FI14">DetermineKill(ConvertToRoundTime(secandmin(CK14),secandmin(CJ32),CL14),CJ14,CN14,CO14,CM14,CQ14,CP14,$O$2)</f>
        <v>UNKNOWN</v>
      </c>
      <c r="FE14" s="1" t="b">
        <v>0</v>
      </c>
      <c r="FF14" s="1" t="str">
        <v>Floofs</v>
      </c>
      <c r="FG14" s="1">
        <v>72</v>
      </c>
      <c r="FH14" s="1" t="b">
        <v>0</v>
      </c>
      <c r="FI14" s="1" t="b">
        <v>1</v>
      </c>
      <c r="FJ14" s="1" t="b" cm="1">
        <f t="array" ref="FJ14">DeathTraded(FG14,$O$2,DV14,$O$2,DV30,$O$3,DV46,$O$4,DV62,$O$5,DV78,$O$6,$R$2)</f>
        <v>0</v>
      </c>
      <c r="FK14" s="1" t="str" cm="1">
        <f t="array" ref="FK14:FP14">DetermineKill(ConvertToRoundTime(secandmin(CT14),secandmin(CJ32),CU14),CS14,CW14,CX14,CV14,CZ14,CY14,$O$2)</f>
        <v>NOLOC</v>
      </c>
      <c r="FL14" s="1" t="b">
        <v>0</v>
      </c>
      <c r="FM14" s="1" t="b">
        <v>0</v>
      </c>
      <c r="FN14" s="1" t="b">
        <v>0</v>
      </c>
      <c r="FO14" s="1" t="b">
        <v>0</v>
      </c>
      <c r="FP14" s="1" t="b">
        <v>0</v>
      </c>
      <c r="FQ14" s="1" t="str" cm="1">
        <f t="array" ref="FQ14">DeathTraded(FN14,$O$2,DV14,$O$2,DV30,$O$3,DV46,$O$4,DV62,$O$5,DV78,$O$6,$R$2)</f>
        <v>N/A</v>
      </c>
      <c r="FR14" s="1" t="str" cm="1">
        <f t="array" ref="FR14:FW14">DetermineKill(ConvertToRoundTime(secandmin(DC14),secandmin(CJ32),DD14),DB14,DF14,DG14,DE14,DI14,DH14,$O$2)</f>
        <v>NOLOC</v>
      </c>
      <c r="FS14" s="1" t="b">
        <v>0</v>
      </c>
      <c r="FT14" s="1" t="b">
        <v>0</v>
      </c>
      <c r="FU14" s="1" t="b">
        <v>0</v>
      </c>
      <c r="FV14" s="1" t="b">
        <v>0</v>
      </c>
      <c r="FW14" s="1" t="b">
        <v>0</v>
      </c>
      <c r="FX14" s="1" t="str" cm="1">
        <f t="array" ref="FX14">DeathTraded(FU14,$O$2,DV14,$O$2,DV30,$O$3,DV46,$O$4,DV62,$O$5,DV78,$O$6,$R$2)</f>
        <v>N/A</v>
      </c>
      <c r="FY14" s="4">
        <v>8</v>
      </c>
      <c r="FZ14" s="1">
        <f t="shared" si="8"/>
        <v>0</v>
      </c>
      <c r="GA14" s="21">
        <f t="shared" si="9"/>
        <v>0</v>
      </c>
      <c r="GB14" s="1" t="str">
        <f t="shared" si="0"/>
        <v>NODATA</v>
      </c>
      <c r="GC14" s="13" t="str">
        <f t="shared" si="1"/>
        <v>NODATA</v>
      </c>
      <c r="GD14" s="1" t="str">
        <f t="shared" si="10"/>
        <v>NODATA</v>
      </c>
      <c r="GE14" s="1" t="str">
        <f t="shared" si="11"/>
        <v>NODATA</v>
      </c>
      <c r="GF14" s="1" t="str" cm="1">
        <f t="array" ref="GF14">IF($V$2=TRUE,IF(CH32="Attack",ConvertToRoundTime(secandmin(BC32),secandmin(CJ32),BD32),""),"NO DATA")</f>
        <v/>
      </c>
      <c r="GG14" s="1" t="str" cm="1">
        <f t="array" ref="GG14">IF($V$2=TRUE,IF(CH32="Attack",ConvertToRoundTime(secandmin(BE32),secandmin(CJ32),BF32),"")," NO DATA")</f>
        <v/>
      </c>
    </row>
    <row r="15" spans="1:189" x14ac:dyDescent="0.25">
      <c r="AB15" s="5">
        <v>9</v>
      </c>
      <c r="AC15" s="43" t="s">
        <v>401</v>
      </c>
      <c r="AD15" s="1" t="b">
        <v>0</v>
      </c>
      <c r="AE15" s="14" t="s">
        <v>426</v>
      </c>
      <c r="AF15" s="38"/>
      <c r="AG15" s="14"/>
      <c r="AH15" s="38"/>
      <c r="AJ15" s="5">
        <v>9</v>
      </c>
      <c r="AK15" s="43" t="s">
        <v>401</v>
      </c>
      <c r="AL15" s="1" t="b">
        <v>0</v>
      </c>
      <c r="AM15" s="14" t="s">
        <v>428</v>
      </c>
      <c r="AN15" s="38"/>
      <c r="AO15" s="14"/>
      <c r="AP15" s="38"/>
      <c r="AR15" s="5">
        <v>9</v>
      </c>
      <c r="AS15" s="43" t="s">
        <v>387</v>
      </c>
      <c r="AT15" s="1" t="b">
        <v>0</v>
      </c>
      <c r="AU15" s="14" t="s">
        <v>428</v>
      </c>
      <c r="AV15" s="38"/>
      <c r="AW15" s="14"/>
      <c r="AX15" s="38"/>
      <c r="AZ15" s="5">
        <v>9</v>
      </c>
      <c r="BA15" s="43" t="s">
        <v>443</v>
      </c>
      <c r="BB15" s="1" t="b">
        <v>0</v>
      </c>
      <c r="BC15" s="14" t="s">
        <v>428</v>
      </c>
      <c r="BD15" s="38"/>
      <c r="BE15" s="14"/>
      <c r="BF15" s="38"/>
      <c r="BH15" s="5">
        <v>9</v>
      </c>
      <c r="BI15" s="43" t="s">
        <v>378</v>
      </c>
      <c r="BJ15" s="1" t="b">
        <v>0</v>
      </c>
      <c r="BK15" s="14" t="s">
        <v>428</v>
      </c>
      <c r="BL15" s="38"/>
      <c r="BM15" s="14"/>
      <c r="BN15" s="38"/>
      <c r="BQ15" s="5">
        <v>9</v>
      </c>
      <c r="BR15" s="14" t="s">
        <v>372</v>
      </c>
      <c r="BS15" s="43" t="s">
        <v>396</v>
      </c>
      <c r="BT15" s="1" t="b">
        <v>0</v>
      </c>
      <c r="BU15" s="14"/>
      <c r="BV15" s="38"/>
      <c r="BW15" s="14" t="s">
        <v>425</v>
      </c>
      <c r="BX15" s="38"/>
      <c r="BY15" s="14"/>
      <c r="BZ15" s="5">
        <v>9</v>
      </c>
      <c r="CA15" s="14"/>
      <c r="CB15" s="43"/>
      <c r="CC15" s="1" t="b">
        <v>0</v>
      </c>
      <c r="CD15" s="14"/>
      <c r="CE15" s="38"/>
      <c r="CF15" s="14"/>
      <c r="CG15" s="38"/>
      <c r="CH15" s="14"/>
      <c r="CI15" s="5">
        <v>9</v>
      </c>
      <c r="CJ15" s="14"/>
      <c r="CK15" s="43"/>
      <c r="CL15" s="1" t="b">
        <v>0</v>
      </c>
      <c r="CM15" s="14"/>
      <c r="CN15" s="38"/>
      <c r="CO15" s="14"/>
      <c r="CP15" s="38"/>
      <c r="CQ15" s="14"/>
      <c r="CR15" s="5">
        <v>9</v>
      </c>
      <c r="CS15" s="14"/>
      <c r="CT15" s="43"/>
      <c r="CU15" s="1" t="b">
        <v>0</v>
      </c>
      <c r="CV15" s="14"/>
      <c r="CW15" s="38"/>
      <c r="CX15" s="14"/>
      <c r="CY15" s="38"/>
      <c r="CZ15" s="14"/>
      <c r="DA15" s="5">
        <v>9</v>
      </c>
      <c r="DB15" s="14"/>
      <c r="DC15" s="43"/>
      <c r="DD15" s="1" t="b">
        <v>0</v>
      </c>
      <c r="DE15" s="14"/>
      <c r="DF15" s="38"/>
      <c r="DG15" s="14"/>
      <c r="DH15" s="38"/>
      <c r="DI15" s="14"/>
      <c r="DP15" s="37"/>
      <c r="DQ15" s="48" t="str">
        <f ca="1">A2</f>
        <v>8_22 Skyscraper_1</v>
      </c>
      <c r="DR15" s="5">
        <v>9</v>
      </c>
      <c r="DS15" s="1" t="str">
        <v>Defense</v>
      </c>
      <c r="DT15" s="1" t="str">
        <f t="shared" si="2"/>
        <v>Candle</v>
      </c>
      <c r="DU15" s="1" t="str">
        <v>Lesion</v>
      </c>
      <c r="DV15" s="21" cm="1">
        <f t="array" ref="DV15">ConvertToRoundTime(secandmin(AC15),secandmin(CJ33),AD15)</f>
        <v>152</v>
      </c>
      <c r="DW15" s="1" t="str">
        <v>Snipey</v>
      </c>
      <c r="DX15" s="1" t="b" cm="1">
        <f t="array" ref="DX15">DeathRefragged(DV15,MAX(ES15,ES31,ES47,ES63,ES79,FA96),MAX(EZ15,EZ31,EZ47,EZ63,EZ79,FI96),MAX(FG15,FG31,FG47,FG63,FG79,FP96),MAX(FN15,FN31,FN47,FN63,FN79,FW96),MAX(FU15,FU31,FU47,FU63,FU79,GD96),$Q$2)</f>
        <v>0</v>
      </c>
      <c r="DY15" s="1" t="b" cm="1">
        <f t="array" ref="DY15">DeathTraded(DV15,DW15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15" s="1" t="b">
        <v>0</v>
      </c>
      <c r="EA15" s="1" t="str">
        <v>NOLOC</v>
      </c>
      <c r="EB15" s="1" t="b" cm="1">
        <f t="array" ref="EB15">OpeningDeath(MAX(ES15,ES31,ES47,ES63,ES79),DV15,DV31,DV47,DV63,DV79)</f>
        <v>0</v>
      </c>
      <c r="EC15" s="1" t="b" cm="1">
        <f t="array" ref="EC15">EntryDeath(DV15,DV31,DV47,DV63,DV79)</f>
        <v>0</v>
      </c>
      <c r="ED15" s="5">
        <v>9</v>
      </c>
      <c r="EE15" s="1">
        <f t="shared" si="3"/>
        <v>0</v>
      </c>
      <c r="EF15" s="1">
        <f t="shared" si="4"/>
        <v>0</v>
      </c>
      <c r="EG15" s="1">
        <f t="shared" si="5"/>
        <v>0</v>
      </c>
      <c r="EH15" s="1" cm="1">
        <f t="array" ref="EH15">ExitFrag(EN15,MAX(DV31,DV47,DV63,DV79),MAX(ES15,ES31,ES47,ES63,ES79,FA96),MAX(EZ15,EZ31,EZ47,EZ63,EZ79,FI96),MAX(FG15,FG31,FG47,FG63,FG79,FP96),MAX(FN15,FN31,FN47,FN63,FN79,FW96),MAX(FU15,FU31,FU47,FU63,FU79,GD96))</f>
        <v>0</v>
      </c>
      <c r="EI15" s="1" t="b" cm="1">
        <f t="array" ref="EI15">OpeningKill(ES15,ES31,ES47,ES63,ES79,FB96,DV15,DV31,DV47,DV63,DV79)</f>
        <v>0</v>
      </c>
      <c r="EJ15" s="1" t="b">
        <f t="shared" si="6"/>
        <v>0</v>
      </c>
      <c r="EK15" s="5">
        <v>9</v>
      </c>
      <c r="EL15" s="1" t="b">
        <v>0</v>
      </c>
      <c r="EM15" s="1" t="b" cm="1">
        <f t="array" ref="EM15">IF(NOT(ISBLANK(CP33)),KOST(EE15,DY15,DV15,EL15),"NOT PLAYED")</f>
        <v>0</v>
      </c>
      <c r="EN15" s="1" t="b" cm="1">
        <f t="array" ref="EN15">OneVX(DV31,DV47,DV63,DV79,DV15)</f>
        <v>0</v>
      </c>
      <c r="EO15" s="1" t="b">
        <f t="shared" si="7"/>
        <v>0</v>
      </c>
      <c r="EP15" s="1" t="str" cm="1">
        <f t="array" ref="EP15:EU15">DetermineKill(ConvertToRoundTime(secandmin(BS15),secandmin(CJ33),BT15),BR15,BV15,BW15,BU15,BY15,BX15,$O$2)</f>
        <v>NOLOC</v>
      </c>
      <c r="EQ15" s="1" t="b">
        <v>0</v>
      </c>
      <c r="ER15" s="1" t="b">
        <v>0</v>
      </c>
      <c r="ES15" s="1" t="b">
        <v>0</v>
      </c>
      <c r="ET15" s="1" t="b">
        <v>0</v>
      </c>
      <c r="EU15" s="1" t="b">
        <v>0</v>
      </c>
      <c r="EV15" s="1" t="str" cm="1">
        <f t="array" ref="EV15">DeathTraded(ES15,$O$2,DV15,$O$2,DV31,$O$3,DV47,$O$4,DV63,$O$5,DV79,$O$6,$R$2)</f>
        <v>N/A</v>
      </c>
      <c r="EW15" s="1" t="str" cm="1">
        <f t="array" ref="EW15:FB15">DetermineKill(ConvertToRoundTime(secandmin(CB15),secandmin(CJ33),CC15),CA15,CE15,CF15,CD15,CH15,CG15,$O$2)</f>
        <v>NOLOC</v>
      </c>
      <c r="EX15" s="1" t="b">
        <v>0</v>
      </c>
      <c r="EY15" s="1" t="b">
        <v>0</v>
      </c>
      <c r="EZ15" s="1" t="b">
        <v>0</v>
      </c>
      <c r="FA15" s="1" t="b">
        <v>0</v>
      </c>
      <c r="FB15" s="1" t="b">
        <v>0</v>
      </c>
      <c r="FC15" s="1" t="str" cm="1">
        <f t="array" ref="FC15">DeathTraded(EZ15,$O$2,DV15,$O$2,DV31,$O$3,DV47,$O$4,DV63,$O$5,DV79,$O$6,$R$2)</f>
        <v>N/A</v>
      </c>
      <c r="FD15" s="1" t="str" cm="1">
        <f t="array" ref="FD15:FI15">DetermineKill(ConvertToRoundTime(secandmin(CK15),secandmin(CJ33),CL15),CJ15,CN15,CO15,CM15,CQ15,CP15,$O$2)</f>
        <v>NOLOC</v>
      </c>
      <c r="FE15" s="1" t="b">
        <v>0</v>
      </c>
      <c r="FF15" s="1" t="b">
        <v>0</v>
      </c>
      <c r="FG15" s="1" t="b">
        <v>0</v>
      </c>
      <c r="FH15" s="1" t="b">
        <v>0</v>
      </c>
      <c r="FI15" s="1" t="b">
        <v>0</v>
      </c>
      <c r="FJ15" s="1" t="str" cm="1">
        <f t="array" ref="FJ15">DeathTraded(FG15,$O$2,DV15,$O$2,DV31,$O$3,DV47,$O$4,DV63,$O$5,DV79,$O$6,$R$2)</f>
        <v>N/A</v>
      </c>
      <c r="FK15" s="1" t="str" cm="1">
        <f t="array" ref="FK15:FP15">DetermineKill(ConvertToRoundTime(secandmin(CT15),secandmin(CJ33),CU15),CS15,CW15,CX15,CV15,CZ15,CY15,$O$2)</f>
        <v>NOLOC</v>
      </c>
      <c r="FL15" s="1" t="b">
        <v>0</v>
      </c>
      <c r="FM15" s="1" t="b">
        <v>0</v>
      </c>
      <c r="FN15" s="1" t="b">
        <v>0</v>
      </c>
      <c r="FO15" s="1" t="b">
        <v>0</v>
      </c>
      <c r="FP15" s="1" t="b">
        <v>0</v>
      </c>
      <c r="FQ15" s="1" t="str" cm="1">
        <f t="array" ref="FQ15">DeathTraded(FN15,$O$2,DV15,$O$2,DV31,$O$3,DV47,$O$4,DV63,$O$5,DV79,$O$6,$R$2)</f>
        <v>N/A</v>
      </c>
      <c r="FR15" s="1" t="str" cm="1">
        <f t="array" ref="FR15:FW15">DetermineKill(ConvertToRoundTime(secandmin(DC15),secandmin(CJ33),DD15),DB15,DF15,DG15,DE15,DI15,DH15,$O$2)</f>
        <v>NOLOC</v>
      </c>
      <c r="FS15" s="1" t="b">
        <v>0</v>
      </c>
      <c r="FT15" s="1" t="b">
        <v>0</v>
      </c>
      <c r="FU15" s="1" t="b">
        <v>0</v>
      </c>
      <c r="FV15" s="1" t="b">
        <v>0</v>
      </c>
      <c r="FW15" s="1" t="b">
        <v>0</v>
      </c>
      <c r="FX15" s="1" t="str" cm="1">
        <f t="array" ref="FX15">DeathTraded(FU15,$O$2,DV15,$O$2,DV31,$O$3,DV47,$O$4,DV63,$O$5,DV79,$O$6,$R$2)</f>
        <v>N/A</v>
      </c>
      <c r="FY15" s="5">
        <v>9</v>
      </c>
      <c r="FZ15" s="1">
        <f t="shared" si="8"/>
        <v>0</v>
      </c>
      <c r="GA15" s="21">
        <f t="shared" si="9"/>
        <v>0</v>
      </c>
      <c r="GB15" s="1" t="str">
        <f t="shared" si="0"/>
        <v>NODATA</v>
      </c>
      <c r="GC15" s="13" t="str">
        <f t="shared" si="1"/>
        <v>NODATA</v>
      </c>
      <c r="GD15" s="1" t="str">
        <f t="shared" si="10"/>
        <v>NODATA</v>
      </c>
      <c r="GE15" s="1" t="str">
        <f t="shared" si="11"/>
        <v>NODATA</v>
      </c>
      <c r="GF15" s="1" t="str" cm="1">
        <f t="array" ref="GF15">IF($V$2=TRUE,IF(CH33="Attack",ConvertToRoundTime(secandmin(BC33),secandmin(CJ33),BD33),""),"NO DATA")</f>
        <v/>
      </c>
      <c r="GG15" s="1" t="str" cm="1">
        <f t="array" ref="GG15">IF($V$2=TRUE,IF(CH33="Attack",ConvertToRoundTime(secandmin(BE33),secandmin(CJ33),BF33),"")," NO DATA")</f>
        <v/>
      </c>
    </row>
    <row r="16" spans="1:189" x14ac:dyDescent="0.25">
      <c r="AB16" s="4">
        <v>10</v>
      </c>
      <c r="AC16" s="44"/>
      <c r="AD16" s="1" t="b">
        <v>0</v>
      </c>
      <c r="AE16" s="14"/>
      <c r="AF16" s="39"/>
      <c r="AG16" s="15"/>
      <c r="AH16" s="39"/>
      <c r="AJ16" s="4">
        <v>10</v>
      </c>
      <c r="AK16" s="44"/>
      <c r="AL16" s="1" t="b">
        <v>0</v>
      </c>
      <c r="AM16" s="14"/>
      <c r="AN16" s="39"/>
      <c r="AO16" s="15"/>
      <c r="AP16" s="39"/>
      <c r="AR16" s="4">
        <v>10</v>
      </c>
      <c r="AS16" s="44" t="s">
        <v>439</v>
      </c>
      <c r="AT16" s="1" t="b">
        <v>0</v>
      </c>
      <c r="AU16" s="14" t="s">
        <v>428</v>
      </c>
      <c r="AV16" s="39"/>
      <c r="AW16" s="15"/>
      <c r="AX16" s="39"/>
      <c r="AZ16" s="4">
        <v>10</v>
      </c>
      <c r="BA16" s="44"/>
      <c r="BB16" s="1" t="b">
        <v>0</v>
      </c>
      <c r="BC16" s="14"/>
      <c r="BD16" s="39"/>
      <c r="BE16" s="15"/>
      <c r="BF16" s="39"/>
      <c r="BH16" s="4">
        <v>10</v>
      </c>
      <c r="BI16" s="44" t="s">
        <v>388</v>
      </c>
      <c r="BJ16" s="1" t="b">
        <v>0</v>
      </c>
      <c r="BK16" s="14" t="s">
        <v>428</v>
      </c>
      <c r="BL16" s="39"/>
      <c r="BM16" s="15"/>
      <c r="BN16" s="39"/>
      <c r="BQ16" s="4">
        <v>10</v>
      </c>
      <c r="BR16" s="15" t="s">
        <v>372</v>
      </c>
      <c r="BS16" s="44" t="s">
        <v>380</v>
      </c>
      <c r="BT16" s="1" t="b">
        <v>0</v>
      </c>
      <c r="BU16" s="15"/>
      <c r="BV16" s="39"/>
      <c r="BW16" s="15" t="s">
        <v>425</v>
      </c>
      <c r="BX16" s="39"/>
      <c r="BY16" s="15" t="b">
        <v>1</v>
      </c>
      <c r="BZ16" s="4">
        <v>10</v>
      </c>
      <c r="CA16" s="15" t="s">
        <v>368</v>
      </c>
      <c r="CB16" s="44" t="s">
        <v>383</v>
      </c>
      <c r="CC16" s="1" t="b">
        <v>0</v>
      </c>
      <c r="CD16" s="15"/>
      <c r="CE16" s="39"/>
      <c r="CF16" s="15" t="s">
        <v>426</v>
      </c>
      <c r="CG16" s="39"/>
      <c r="CH16" s="15" t="b">
        <v>1</v>
      </c>
      <c r="CI16" s="4">
        <v>10</v>
      </c>
      <c r="CJ16" s="15" t="s">
        <v>370</v>
      </c>
      <c r="CK16" s="44" t="s">
        <v>455</v>
      </c>
      <c r="CL16" s="1" t="b">
        <v>0</v>
      </c>
      <c r="CM16" s="15"/>
      <c r="CN16" s="39"/>
      <c r="CO16" s="15" t="s">
        <v>428</v>
      </c>
      <c r="CP16" s="39"/>
      <c r="CQ16" s="15" t="b">
        <v>1</v>
      </c>
      <c r="CR16" s="4">
        <v>10</v>
      </c>
      <c r="CS16" s="15" t="s">
        <v>372</v>
      </c>
      <c r="CT16" s="44" t="s">
        <v>382</v>
      </c>
      <c r="CU16" s="1" t="b">
        <v>0</v>
      </c>
      <c r="CV16" s="15"/>
      <c r="CW16" s="39"/>
      <c r="CX16" s="15" t="s">
        <v>424</v>
      </c>
      <c r="CY16" s="39"/>
      <c r="CZ16" s="15"/>
      <c r="DA16" s="4">
        <v>10</v>
      </c>
      <c r="DB16" s="15" t="s">
        <v>370</v>
      </c>
      <c r="DC16" s="44" t="s">
        <v>382</v>
      </c>
      <c r="DD16" s="1" t="b">
        <v>0</v>
      </c>
      <c r="DE16" s="15"/>
      <c r="DF16" s="39" t="b">
        <v>1</v>
      </c>
      <c r="DG16" s="15" t="s">
        <v>427</v>
      </c>
      <c r="DH16" s="39"/>
      <c r="DI16" s="15"/>
      <c r="DP16" s="37"/>
      <c r="DQ16" s="48" t="str">
        <f ca="1">A2</f>
        <v>8_22 Skyscraper_1</v>
      </c>
      <c r="DR16" s="4">
        <v>10</v>
      </c>
      <c r="DS16" s="1" t="str">
        <v>Defense</v>
      </c>
      <c r="DT16" s="1" t="str">
        <f t="shared" si="2"/>
        <v>Candle</v>
      </c>
      <c r="DU16" s="1" t="str">
        <v>Lesion</v>
      </c>
      <c r="DV16" s="21" t="b" cm="1">
        <f t="array" ref="DV16">ConvertToRoundTime(secandmin(AC16),secandmin(CJ34),AD16)</f>
        <v>0</v>
      </c>
      <c r="DW16" s="1" t="b">
        <v>0</v>
      </c>
      <c r="DX16" s="1" t="str" cm="1">
        <f t="array" ref="DX16">DeathRefragged(DV16,MAX(ES16,ES32,ES48,ES64,ES80,FA97),MAX(EZ16,EZ32,EZ48,EZ64,EZ80,FI97),MAX(FG16,FG32,FG48,FG64,FG80,FP97),MAX(FN16,FN32,FN48,FN64,FN80,FW97),MAX(FU16,FU32,FU48,FU64,FU80,GD97),$Q$2)</f>
        <v>N/A</v>
      </c>
      <c r="DY16" s="1" t="str" cm="1">
        <f t="array" ref="DY16">DeathTraded(DV16,DW16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16" s="1" t="b">
        <v>0</v>
      </c>
      <c r="EA16" s="1" t="str">
        <v>NOLOC</v>
      </c>
      <c r="EB16" s="1" t="b" cm="1">
        <f t="array" ref="EB16">OpeningDeath(MAX(ES16,ES32,ES48,ES64,ES80),DV16,DV32,DV48,DV64,DV80)</f>
        <v>0</v>
      </c>
      <c r="EC16" s="1" t="b" cm="1">
        <f t="array" ref="EC16">EntryDeath(DV16,DV32,DV48,DV64,DV80)</f>
        <v>0</v>
      </c>
      <c r="ED16" s="4">
        <v>10</v>
      </c>
      <c r="EE16" s="1">
        <f t="shared" si="3"/>
        <v>1</v>
      </c>
      <c r="EF16" s="1">
        <f t="shared" si="4"/>
        <v>1</v>
      </c>
      <c r="EG16" s="1">
        <f t="shared" si="5"/>
        <v>0</v>
      </c>
      <c r="EH16" s="1" cm="1">
        <f t="array" ref="EH16">ExitFrag(EN16,MAX(DV32,DV48,DV64,DV80),MAX(ES16,ES32,ES48,ES64,ES80,FA97),MAX(EZ16,EZ32,EZ48,EZ64,EZ80,FI97),MAX(FG16,FG32,FG48,FG64,FG80,FP97),MAX(FN16,FN32,FN48,FN64,FN80,FW97),MAX(FU16,FU32,FU48,FU64,FU80,GD97))</f>
        <v>0</v>
      </c>
      <c r="EI16" s="1" t="b" cm="1">
        <f t="array" ref="EI16">OpeningKill(ES16,ES32,ES48,ES64,ES80,FB97,DV16,DV32,DV48,DV64,DV80)</f>
        <v>0</v>
      </c>
      <c r="EJ16" s="1" t="b">
        <f t="shared" si="6"/>
        <v>0</v>
      </c>
      <c r="EK16" s="4">
        <v>10</v>
      </c>
      <c r="EL16" s="1" t="b">
        <v>0</v>
      </c>
      <c r="EM16" s="1" t="b" cm="1">
        <f t="array" ref="EM16">IF(NOT(ISBLANK(CP34)),KOST(EE16,DY16,DV16,EL16),"NOT PLAYED")</f>
        <v>1</v>
      </c>
      <c r="EN16" s="1" t="b" cm="1">
        <f t="array" ref="EN16">OneVX(DV32,DV48,DV64,DV80,DV16)</f>
        <v>0</v>
      </c>
      <c r="EO16" s="1" t="b">
        <f t="shared" si="7"/>
        <v>0</v>
      </c>
      <c r="EP16" s="1" t="str" cm="1">
        <f t="array" ref="EP16:EU16">DetermineKill(ConvertToRoundTime(secandmin(BS16),secandmin(CJ34),BT16),BR16,BV16,BW16,BU16,BY16,BX16,$O$2)</f>
        <v>NOLOC</v>
      </c>
      <c r="EQ16" s="1" t="b">
        <v>0</v>
      </c>
      <c r="ER16" s="1" t="b">
        <v>0</v>
      </c>
      <c r="ES16" s="1" t="b">
        <v>0</v>
      </c>
      <c r="ET16" s="1" t="b">
        <v>0</v>
      </c>
      <c r="EU16" s="1" t="b">
        <v>0</v>
      </c>
      <c r="EV16" s="1" t="str" cm="1">
        <f t="array" ref="EV16">DeathTraded(ES16,$O$2,DV16,$O$2,DV32,$O$3,DV48,$O$4,DV64,$O$5,DV80,$O$6,$R$2)</f>
        <v>N/A</v>
      </c>
      <c r="EW16" s="1" t="str" cm="1">
        <f t="array" ref="EW16:FB16">DetermineKill(ConvertToRoundTime(secandmin(CB16),secandmin(CJ34),CC16),CA16,CE16,CF16,CD16,CH16,CG16,$O$2)</f>
        <v>UNKNOWN</v>
      </c>
      <c r="EX16" s="1" t="b">
        <v>0</v>
      </c>
      <c r="EY16" s="1" t="str">
        <v>Snipey</v>
      </c>
      <c r="EZ16" s="1">
        <v>46</v>
      </c>
      <c r="FA16" s="1" t="b">
        <v>0</v>
      </c>
      <c r="FB16" s="1" t="b">
        <v>1</v>
      </c>
      <c r="FC16" s="1" t="b" cm="1">
        <f t="array" ref="FC16">DeathTraded(EZ16,$O$2,DV16,$O$2,DV32,$O$3,DV48,$O$4,DV64,$O$5,DV80,$O$6,$R$2)</f>
        <v>0</v>
      </c>
      <c r="FD16" s="1" t="str" cm="1">
        <f t="array" ref="FD16:FI16">DetermineKill(ConvertToRoundTime(secandmin(CK16),secandmin(CJ34),CL16),CJ16,CN16,CO16,CM16,CQ16,CP16,$O$2)</f>
        <v>NOLOC</v>
      </c>
      <c r="FE16" s="1" t="b">
        <v>0</v>
      </c>
      <c r="FF16" s="1" t="b">
        <v>0</v>
      </c>
      <c r="FG16" s="1" t="b">
        <v>0</v>
      </c>
      <c r="FH16" s="1" t="b">
        <v>0</v>
      </c>
      <c r="FI16" s="1" t="b">
        <v>0</v>
      </c>
      <c r="FJ16" s="1" t="str" cm="1">
        <f t="array" ref="FJ16">DeathTraded(FG16,$O$2,DV16,$O$2,DV32,$O$3,DV48,$O$4,DV64,$O$5,DV80,$O$6,$R$2)</f>
        <v>N/A</v>
      </c>
      <c r="FK16" s="1" t="str" cm="1">
        <f t="array" ref="FK16:FP16">DetermineKill(ConvertToRoundTime(secandmin(CT16),secandmin(CJ34),CU16),CS16,CW16,CX16,CV16,CZ16,CY16,$O$2)</f>
        <v>NOLOC</v>
      </c>
      <c r="FL16" s="1" t="b">
        <v>0</v>
      </c>
      <c r="FM16" s="1" t="b">
        <v>0</v>
      </c>
      <c r="FN16" s="1" t="b">
        <v>0</v>
      </c>
      <c r="FO16" s="1" t="b">
        <v>0</v>
      </c>
      <c r="FP16" s="1" t="b">
        <v>0</v>
      </c>
      <c r="FQ16" s="1" t="str" cm="1">
        <f t="array" ref="FQ16">DeathTraded(FN16,$O$2,DV16,$O$2,DV32,$O$3,DV48,$O$4,DV64,$O$5,DV80,$O$6,$R$2)</f>
        <v>N/A</v>
      </c>
      <c r="FR16" s="1" t="str" cm="1">
        <f t="array" ref="FR16:FW16">DetermineKill(ConvertToRoundTime(secandmin(DC16),secandmin(CJ34),DD16),DB16,DF16,DG16,DE16,DI16,DH16,$O$2)</f>
        <v>NOLOC</v>
      </c>
      <c r="FS16" s="1" t="b">
        <v>0</v>
      </c>
      <c r="FT16" s="1" t="b">
        <v>0</v>
      </c>
      <c r="FU16" s="1" t="b">
        <v>0</v>
      </c>
      <c r="FV16" s="1" t="b">
        <v>0</v>
      </c>
      <c r="FW16" s="1" t="b">
        <v>0</v>
      </c>
      <c r="FX16" s="1" t="str" cm="1">
        <f t="array" ref="FX16">DeathTraded(FU16,$O$2,DV16,$O$2,DV32,$O$3,DV48,$O$4,DV64,$O$5,DV80,$O$6,$R$2)</f>
        <v>N/A</v>
      </c>
      <c r="FY16" s="4">
        <v>10</v>
      </c>
      <c r="FZ16" s="1">
        <f t="shared" si="8"/>
        <v>0</v>
      </c>
      <c r="GA16" s="21">
        <f t="shared" si="9"/>
        <v>0</v>
      </c>
      <c r="GB16" s="1" t="str">
        <f t="shared" si="0"/>
        <v>NODATA</v>
      </c>
      <c r="GC16" s="13" t="str">
        <f t="shared" si="1"/>
        <v>NODATA</v>
      </c>
      <c r="GD16" s="1" t="str">
        <f t="shared" si="10"/>
        <v>NODATA</v>
      </c>
      <c r="GE16" s="1" t="str">
        <f t="shared" si="11"/>
        <v>NODATA</v>
      </c>
      <c r="GF16" s="1" t="str" cm="1">
        <f t="array" ref="GF16">IF($V$2=TRUE,IF(CH34="Attack",ConvertToRoundTime(secandmin(BC34),secandmin(CJ34),BD34),""),"NO DATA")</f>
        <v/>
      </c>
      <c r="GG16" s="1" t="str" cm="1">
        <f t="array" ref="GG16">IF($V$2=TRUE,IF(CH34="Attack",ConvertToRoundTime(secandmin(BE34),secandmin(CJ34),BF34),"")," NO DATA")</f>
        <v/>
      </c>
    </row>
    <row r="17" spans="27:189" x14ac:dyDescent="0.25">
      <c r="AB17" s="5">
        <v>11</v>
      </c>
      <c r="AC17" s="43" t="s">
        <v>432</v>
      </c>
      <c r="AD17" s="1" t="b">
        <v>0</v>
      </c>
      <c r="AE17" s="14" t="s">
        <v>425</v>
      </c>
      <c r="AF17" s="38"/>
      <c r="AG17" s="14"/>
      <c r="AH17" s="38"/>
      <c r="AJ17" s="5">
        <v>11</v>
      </c>
      <c r="AK17" s="43"/>
      <c r="AL17" s="1" t="b">
        <v>0</v>
      </c>
      <c r="AM17" s="14"/>
      <c r="AN17" s="38"/>
      <c r="AO17" s="14"/>
      <c r="AP17" s="38"/>
      <c r="AR17" s="5">
        <v>11</v>
      </c>
      <c r="AS17" s="43"/>
      <c r="AT17" s="1" t="b">
        <v>0</v>
      </c>
      <c r="AU17" s="14"/>
      <c r="AV17" s="38"/>
      <c r="AW17" s="14"/>
      <c r="AX17" s="38"/>
      <c r="AZ17" s="5">
        <v>11</v>
      </c>
      <c r="BA17" s="43" t="s">
        <v>379</v>
      </c>
      <c r="BB17" s="1" t="b">
        <v>0</v>
      </c>
      <c r="BC17" s="14" t="s">
        <v>426</v>
      </c>
      <c r="BD17" s="38"/>
      <c r="BE17" s="14"/>
      <c r="BF17" s="38"/>
      <c r="BH17" s="5">
        <v>11</v>
      </c>
      <c r="BI17" s="43"/>
      <c r="BJ17" s="1" t="b">
        <v>0</v>
      </c>
      <c r="BK17" s="14"/>
      <c r="BL17" s="38"/>
      <c r="BM17" s="14"/>
      <c r="BN17" s="38"/>
      <c r="BQ17" s="5">
        <v>11</v>
      </c>
      <c r="BR17" s="14" t="s">
        <v>368</v>
      </c>
      <c r="BS17" s="43" t="s">
        <v>454</v>
      </c>
      <c r="BT17" s="1" t="b">
        <v>0</v>
      </c>
      <c r="BU17" s="14"/>
      <c r="BV17" s="38"/>
      <c r="BW17" s="14" t="s">
        <v>428</v>
      </c>
      <c r="BX17" s="38"/>
      <c r="BY17" s="14" t="b">
        <v>1</v>
      </c>
      <c r="BZ17" s="5">
        <v>11</v>
      </c>
      <c r="CA17" s="14" t="s">
        <v>368</v>
      </c>
      <c r="CB17" s="43" t="s">
        <v>456</v>
      </c>
      <c r="CC17" s="1" t="b">
        <v>0</v>
      </c>
      <c r="CD17" s="14"/>
      <c r="CE17" s="38"/>
      <c r="CF17" s="14" t="s">
        <v>426</v>
      </c>
      <c r="CG17" s="38"/>
      <c r="CH17" s="14" t="b">
        <v>1</v>
      </c>
      <c r="CI17" s="5">
        <v>11</v>
      </c>
      <c r="CJ17" s="14" t="s">
        <v>370</v>
      </c>
      <c r="CK17" s="43" t="s">
        <v>385</v>
      </c>
      <c r="CL17" s="1" t="b">
        <v>0</v>
      </c>
      <c r="CM17" s="14"/>
      <c r="CN17" s="38"/>
      <c r="CO17" s="14" t="s">
        <v>427</v>
      </c>
      <c r="CP17" s="38"/>
      <c r="CQ17" s="14" t="b">
        <v>1</v>
      </c>
      <c r="CR17" s="5">
        <v>11</v>
      </c>
      <c r="CS17" s="14" t="s">
        <v>370</v>
      </c>
      <c r="CT17" s="43" t="s">
        <v>390</v>
      </c>
      <c r="CU17" s="1" t="b">
        <v>0</v>
      </c>
      <c r="CV17" s="14"/>
      <c r="CW17" s="38"/>
      <c r="CX17" s="14" t="s">
        <v>424</v>
      </c>
      <c r="CY17" s="38"/>
      <c r="CZ17" s="14"/>
      <c r="DA17" s="5">
        <v>11</v>
      </c>
      <c r="DB17" s="14" t="s">
        <v>369</v>
      </c>
      <c r="DC17" s="43" t="s">
        <v>390</v>
      </c>
      <c r="DD17" s="1" t="b">
        <v>0</v>
      </c>
      <c r="DE17" s="14"/>
      <c r="DF17" s="38"/>
      <c r="DG17" s="14" t="s">
        <v>425</v>
      </c>
      <c r="DH17" s="38"/>
      <c r="DI17" s="14"/>
      <c r="DP17" s="37"/>
      <c r="DQ17" s="48" t="str">
        <f ca="1">A2</f>
        <v>8_22 Skyscraper_1</v>
      </c>
      <c r="DR17" s="5">
        <v>11</v>
      </c>
      <c r="DS17" s="1" t="str">
        <v>Defense</v>
      </c>
      <c r="DT17" s="1" t="str">
        <f t="shared" si="2"/>
        <v>Candle</v>
      </c>
      <c r="DU17" s="1" t="str">
        <v>Jager</v>
      </c>
      <c r="DV17" s="21" cm="1">
        <f t="array" ref="DV17">ConvertToRoundTime(secandmin(AC17),secandmin(CJ35),AD17)</f>
        <v>55</v>
      </c>
      <c r="DW17" s="1" t="str">
        <v>Kouiyn</v>
      </c>
      <c r="DX17" s="1" t="b" cm="1">
        <f t="array" ref="DX17">DeathRefragged(DV17,MAX(ES17,ES33,ES49,ES65,ES81,FA98),MAX(EZ17,EZ33,EZ49,EZ65,EZ81,FI98),MAX(FG17,FG33,FG49,FG65,FG81,FP98),MAX(FN17,FN33,FN49,FN65,FN81,FW98),MAX(FU17,FU33,FU49,FU65,FU81,GD98),$Q$2)</f>
        <v>0</v>
      </c>
      <c r="DY17" s="1" t="b" cm="1">
        <f t="array" ref="DY17">DeathTraded(DV17,DW17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1</v>
      </c>
      <c r="DZ17" s="1" t="b">
        <v>0</v>
      </c>
      <c r="EA17" s="1" t="str">
        <v>NOLOC</v>
      </c>
      <c r="EB17" s="1" t="b" cm="1">
        <f t="array" ref="EB17">OpeningDeath(MAX(ES17,ES33,ES49,ES65,ES81),DV17,DV33,DV49,DV65,DV81)</f>
        <v>1</v>
      </c>
      <c r="EC17" s="1" t="b" cm="1">
        <f t="array" ref="EC17">EntryDeath(DV17,DV33,DV49,DV65,DV81)</f>
        <v>1</v>
      </c>
      <c r="ED17" s="5">
        <v>11</v>
      </c>
      <c r="EE17" s="1">
        <f t="shared" si="3"/>
        <v>2</v>
      </c>
      <c r="EF17" s="1">
        <f t="shared" si="4"/>
        <v>2</v>
      </c>
      <c r="EG17" s="1">
        <f t="shared" si="5"/>
        <v>0</v>
      </c>
      <c r="EH17" s="1" cm="1">
        <f t="array" ref="EH17">ExitFrag(EN17,MAX(DV33,DV49,DV65,DV81),MAX(ES17,ES33,ES49,ES65,ES81,FA98),MAX(EZ17,EZ33,EZ49,EZ65,EZ81,FI98),MAX(FG17,FG33,FG49,FG65,FG81,FP98),MAX(FN17,FN33,FN49,FN65,FN81,FW98),MAX(FU17,FU33,FU49,FU65,FU81,GD98))</f>
        <v>0</v>
      </c>
      <c r="EI17" s="1" t="b" cm="1">
        <f t="array" ref="EI17">OpeningKill(ES17,ES33,ES49,ES65,ES81,FB98,DV17,DV33,DV49,DV65,DV81)</f>
        <v>0</v>
      </c>
      <c r="EJ17" s="1" t="b">
        <f t="shared" si="6"/>
        <v>1</v>
      </c>
      <c r="EK17" s="5">
        <v>11</v>
      </c>
      <c r="EL17" s="1" t="b">
        <v>0</v>
      </c>
      <c r="EM17" s="1" t="b" cm="1">
        <f t="array" ref="EM17">IF(NOT(ISBLANK(CP35)),KOST(EE17,DY17,DV17,EL17),"NOT PLAYED")</f>
        <v>1</v>
      </c>
      <c r="EN17" s="1" t="b" cm="1">
        <f t="array" ref="EN17">OneVX(DV33,DV49,DV65,DV81,DV17)</f>
        <v>0</v>
      </c>
      <c r="EO17" s="1" t="b">
        <f t="shared" si="7"/>
        <v>0</v>
      </c>
      <c r="EP17" s="1" t="str" cm="1">
        <f t="array" ref="EP17:EU17">DetermineKill(ConvertToRoundTime(secandmin(BS17),secandmin(CJ35),BT17),BR17,BV17,BW17,BU17,BY17,BX17,$O$2)</f>
        <v>UNKNOWN</v>
      </c>
      <c r="EQ17" s="1" t="b">
        <v>0</v>
      </c>
      <c r="ER17" s="1" t="str">
        <v>Kiru</v>
      </c>
      <c r="ES17" s="1">
        <v>72</v>
      </c>
      <c r="ET17" s="1" t="b">
        <v>0</v>
      </c>
      <c r="EU17" s="1" t="b">
        <v>1</v>
      </c>
      <c r="EV17" s="1" t="b" cm="1">
        <f t="array" ref="EV17">DeathTraded(ES17,$O$2,DV17,$O$2,DV33,$O$3,DV49,$O$4,DV65,$O$5,DV81,$O$6,$R$2)</f>
        <v>0</v>
      </c>
      <c r="EW17" s="1" t="str" cm="1">
        <f t="array" ref="EW17:FB17">DetermineKill(ConvertToRoundTime(secandmin(CB17),secandmin(CJ35),CC17),CA17,CE17,CF17,CD17,CH17,CG17,$O$2)</f>
        <v>UNKNOWN</v>
      </c>
      <c r="EX17" s="1" t="b">
        <v>0</v>
      </c>
      <c r="EY17" s="1" t="str">
        <v>Snipey</v>
      </c>
      <c r="EZ17" s="1">
        <v>74</v>
      </c>
      <c r="FA17" s="1" t="b">
        <v>0</v>
      </c>
      <c r="FB17" s="1" t="b">
        <v>1</v>
      </c>
      <c r="FC17" s="1" t="b" cm="1">
        <f t="array" ref="FC17">DeathTraded(EZ17,$O$2,DV17,$O$2,DV33,$O$3,DV49,$O$4,DV65,$O$5,DV81,$O$6,$R$2)</f>
        <v>0</v>
      </c>
      <c r="FD17" s="1" t="str" cm="1">
        <f t="array" ref="FD17:FI17">DetermineKill(ConvertToRoundTime(secandmin(CK17),secandmin(CJ35),CL17),CJ17,CN17,CO17,CM17,CQ17,CP17,$O$2)</f>
        <v>NOLOC</v>
      </c>
      <c r="FE17" s="1" t="b">
        <v>0</v>
      </c>
      <c r="FF17" s="1" t="b">
        <v>0</v>
      </c>
      <c r="FG17" s="1" t="b">
        <v>0</v>
      </c>
      <c r="FH17" s="1" t="b">
        <v>0</v>
      </c>
      <c r="FI17" s="1" t="b">
        <v>0</v>
      </c>
      <c r="FJ17" s="1" t="str" cm="1">
        <f t="array" ref="FJ17">DeathTraded(FG17,$O$2,DV17,$O$2,DV33,$O$3,DV49,$O$4,DV65,$O$5,DV81,$O$6,$R$2)</f>
        <v>N/A</v>
      </c>
      <c r="FK17" s="1" t="str" cm="1">
        <f t="array" ref="FK17:FP17">DetermineKill(ConvertToRoundTime(secandmin(CT17),secandmin(CJ35),CU17),CS17,CW17,CX17,CV17,CZ17,CY17,$O$2)</f>
        <v>NOLOC</v>
      </c>
      <c r="FL17" s="1" t="b">
        <v>0</v>
      </c>
      <c r="FM17" s="1" t="b">
        <v>0</v>
      </c>
      <c r="FN17" s="1" t="b">
        <v>0</v>
      </c>
      <c r="FO17" s="1" t="b">
        <v>0</v>
      </c>
      <c r="FP17" s="1" t="b">
        <v>0</v>
      </c>
      <c r="FQ17" s="1" t="str" cm="1">
        <f t="array" ref="FQ17">DeathTraded(FN17,$O$2,DV17,$O$2,DV33,$O$3,DV49,$O$4,DV65,$O$5,DV81,$O$6,$R$2)</f>
        <v>N/A</v>
      </c>
      <c r="FR17" s="1" t="str" cm="1">
        <f t="array" ref="FR17:FW17">DetermineKill(ConvertToRoundTime(secandmin(DC17),secandmin(CJ35),DD17),DB17,DF17,DG17,DE17,DI17,DH17,$O$2)</f>
        <v>NOLOC</v>
      </c>
      <c r="FS17" s="1" t="b">
        <v>0</v>
      </c>
      <c r="FT17" s="1" t="b">
        <v>0</v>
      </c>
      <c r="FU17" s="1" t="b">
        <v>0</v>
      </c>
      <c r="FV17" s="1" t="b">
        <v>0</v>
      </c>
      <c r="FW17" s="1" t="b">
        <v>0</v>
      </c>
      <c r="FX17" s="1" t="str" cm="1">
        <f t="array" ref="FX17">DeathTraded(FU17,$O$2,DV17,$O$2,DV33,$O$3,DV49,$O$4,DV65,$O$5,DV81,$O$6,$R$2)</f>
        <v>N/A</v>
      </c>
      <c r="FY17" s="5">
        <v>11</v>
      </c>
      <c r="FZ17" s="1">
        <f t="shared" si="8"/>
        <v>0</v>
      </c>
      <c r="GA17" s="21">
        <f t="shared" si="9"/>
        <v>0</v>
      </c>
      <c r="GB17" s="1" t="str">
        <f t="shared" si="0"/>
        <v>NODATA</v>
      </c>
      <c r="GC17" s="13" t="str">
        <f t="shared" si="1"/>
        <v>NODATA</v>
      </c>
      <c r="GD17" s="1" t="str">
        <f t="shared" si="10"/>
        <v>NODATA</v>
      </c>
      <c r="GE17" s="1" t="str">
        <f t="shared" si="11"/>
        <v>NODATA</v>
      </c>
      <c r="GF17" s="1" t="str" cm="1">
        <f t="array" ref="GF17">IF($V$2=TRUE,IF(CH35="Attack",ConvertToRoundTime(secandmin(BC35),secandmin(CJ35),BD35),""),"NO DATA")</f>
        <v/>
      </c>
      <c r="GG17" s="1" t="str" cm="1">
        <f t="array" ref="GG17">IF($V$2=TRUE,IF(CH35="Attack",ConvertToRoundTime(secandmin(BE35),secandmin(CJ35),BF35),"")," NO DATA")</f>
        <v/>
      </c>
    </row>
    <row r="18" spans="27:189" x14ac:dyDescent="0.25">
      <c r="AB18" s="4">
        <v>12</v>
      </c>
      <c r="AC18" s="44"/>
      <c r="AD18" s="1" t="b">
        <v>0</v>
      </c>
      <c r="AE18" s="14"/>
      <c r="AF18" s="39"/>
      <c r="AG18" s="15"/>
      <c r="AH18" s="39"/>
      <c r="AJ18" s="4">
        <v>12</v>
      </c>
      <c r="AK18" s="44"/>
      <c r="AL18" s="1" t="b">
        <v>0</v>
      </c>
      <c r="AM18" s="14"/>
      <c r="AN18" s="39"/>
      <c r="AO18" s="15"/>
      <c r="AP18" s="39"/>
      <c r="AR18" s="4">
        <v>12</v>
      </c>
      <c r="AS18" s="44"/>
      <c r="AT18" s="1" t="b">
        <v>0</v>
      </c>
      <c r="AU18" s="14"/>
      <c r="AV18" s="39"/>
      <c r="AW18" s="15"/>
      <c r="AX18" s="39"/>
      <c r="AZ18" s="4">
        <v>12</v>
      </c>
      <c r="BA18" s="44"/>
      <c r="BB18" s="1" t="b">
        <v>0</v>
      </c>
      <c r="BC18" s="14"/>
      <c r="BD18" s="39"/>
      <c r="BE18" s="15"/>
      <c r="BF18" s="39"/>
      <c r="BH18" s="4">
        <v>12</v>
      </c>
      <c r="BI18" s="44"/>
      <c r="BJ18" s="1" t="b">
        <v>0</v>
      </c>
      <c r="BK18" s="14"/>
      <c r="BL18" s="39"/>
      <c r="BM18" s="15"/>
      <c r="BN18" s="39"/>
      <c r="BQ18" s="4">
        <v>12</v>
      </c>
      <c r="BR18" s="15"/>
      <c r="BS18" s="44"/>
      <c r="BT18" s="1" t="b">
        <v>0</v>
      </c>
      <c r="BU18" s="15"/>
      <c r="BV18" s="39"/>
      <c r="BW18" s="15"/>
      <c r="BX18" s="39"/>
      <c r="BY18" s="15"/>
      <c r="BZ18" s="4">
        <v>12</v>
      </c>
      <c r="CA18" s="15"/>
      <c r="CB18" s="44"/>
      <c r="CC18" s="1" t="b">
        <v>0</v>
      </c>
      <c r="CD18" s="15"/>
      <c r="CE18" s="39"/>
      <c r="CF18" s="15"/>
      <c r="CG18" s="39"/>
      <c r="CH18" s="15"/>
      <c r="CI18" s="4">
        <v>12</v>
      </c>
      <c r="CJ18" s="15"/>
      <c r="CK18" s="44"/>
      <c r="CL18" s="1" t="b">
        <v>0</v>
      </c>
      <c r="CM18" s="15"/>
      <c r="CN18" s="39"/>
      <c r="CO18" s="15"/>
      <c r="CP18" s="39"/>
      <c r="CQ18" s="15"/>
      <c r="CR18" s="4">
        <v>12</v>
      </c>
      <c r="CS18" s="15"/>
      <c r="CT18" s="44"/>
      <c r="CU18" s="1" t="b">
        <v>0</v>
      </c>
      <c r="CV18" s="15"/>
      <c r="CW18" s="39"/>
      <c r="CX18" s="15"/>
      <c r="CY18" s="39"/>
      <c r="CZ18" s="15"/>
      <c r="DA18" s="4">
        <v>12</v>
      </c>
      <c r="DB18" s="15"/>
      <c r="DC18" s="44"/>
      <c r="DD18" s="1" t="b">
        <v>0</v>
      </c>
      <c r="DE18" s="15"/>
      <c r="DF18" s="39"/>
      <c r="DG18" s="15"/>
      <c r="DH18" s="39"/>
      <c r="DI18" s="15"/>
      <c r="DP18" s="37"/>
      <c r="DQ18" s="48" t="str">
        <f ca="1">A2</f>
        <v>8_22 Skyscraper_1</v>
      </c>
      <c r="DR18" s="4">
        <v>12</v>
      </c>
      <c r="DS18" s="1" t="str">
        <v>Not Played</v>
      </c>
      <c r="DT18" s="1" t="str">
        <f t="shared" si="2"/>
        <v>Candle</v>
      </c>
      <c r="DU18" s="1" t="str">
        <v>Not Played</v>
      </c>
      <c r="DV18" s="21" t="b" cm="1">
        <f t="array" ref="DV18">ConvertToRoundTime(secandmin(AC18),secandmin(CJ36),AD18)</f>
        <v>0</v>
      </c>
      <c r="DW18" s="1" t="b">
        <v>0</v>
      </c>
      <c r="DX18" s="1" t="str" cm="1">
        <f t="array" ref="DX18">DeathRefragged(DV18,MAX(ES18,ES34,ES50,ES66,ES82,FA99),MAX(EZ18,EZ34,EZ50,EZ66,EZ82,FI99),MAX(FG18,FG34,FG50,FG66,FG82,FP99),MAX(FN18,FN34,FN50,FN66,FN82,FW99),MAX(FU18,FU34,FU50,FU66,FU82,GD99),$Q$2)</f>
        <v>N/A</v>
      </c>
      <c r="DY18" s="1" t="str" cm="1">
        <f t="array" ref="DY18">DeathTraded(DV18,DW18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18" s="1" t="b">
        <v>0</v>
      </c>
      <c r="EA18" s="1" t="str">
        <v>NOLOC</v>
      </c>
      <c r="EB18" s="1" t="b" cm="1">
        <f t="array" ref="EB18">OpeningDeath(MAX(ES18,ES34,ES50,ES66,ES82),DV18,DV34,DV50,DV66,DV82)</f>
        <v>0</v>
      </c>
      <c r="EC18" s="1" t="b" cm="1">
        <f t="array" ref="EC18">EntryDeath(DV18,DV34,DV50,DV66,DV82)</f>
        <v>0</v>
      </c>
      <c r="ED18" s="4">
        <v>12</v>
      </c>
      <c r="EE18" s="1">
        <f t="shared" si="3"/>
        <v>0</v>
      </c>
      <c r="EF18" s="1">
        <f t="shared" si="4"/>
        <v>0</v>
      </c>
      <c r="EG18" s="1">
        <f t="shared" si="5"/>
        <v>0</v>
      </c>
      <c r="EH18" s="1" cm="1">
        <f t="array" ref="EH18">ExitFrag(EN18,MAX(DV34,DV50,DV66,DV82),MAX(ES18,ES34,ES50,ES66,ES82,FA99),MAX(EZ18,EZ34,EZ50,EZ66,EZ82,FI99),MAX(FG18,FG34,FG50,FG66,FG82,FP99),MAX(FN18,FN34,FN50,FN66,FN82,FW99),MAX(FU18,FU34,FU50,FU66,FU82,GD99))</f>
        <v>0</v>
      </c>
      <c r="EI18" s="1" t="b" cm="1">
        <f t="array" ref="EI18">OpeningKill(ES18,ES34,ES50,ES66,ES82,FB99,DV18,DV34,DV50,DV66,DV82)</f>
        <v>0</v>
      </c>
      <c r="EJ18" s="1" t="b">
        <f t="shared" si="6"/>
        <v>0</v>
      </c>
      <c r="EK18" s="4">
        <v>12</v>
      </c>
      <c r="EL18" s="1" t="b">
        <v>0</v>
      </c>
      <c r="EM18" s="1" t="str" cm="1">
        <f t="array" ref="EM18">IF(NOT(ISBLANK(CP36)),KOST(EE18,DY18,DV18,EL18),"NOT PLAYED")</f>
        <v>NOT PLAYED</v>
      </c>
      <c r="EN18" s="1" t="b" cm="1">
        <f t="array" ref="EN18">OneVX(DV34,DV50,DV66,DV82,DV18)</f>
        <v>0</v>
      </c>
      <c r="EO18" s="1" t="b">
        <f t="shared" si="7"/>
        <v>0</v>
      </c>
      <c r="EP18" s="1" t="str" cm="1">
        <f t="array" ref="EP18:EU18">DetermineKill(ConvertToRoundTime(secandmin(BS18),secandmin(CJ36),BT18),BR18,BV18,BW18,BU18,BY18,BX18,$O$2)</f>
        <v>NOLOC</v>
      </c>
      <c r="EQ18" s="1" t="b">
        <v>0</v>
      </c>
      <c r="ER18" s="1" t="b">
        <v>0</v>
      </c>
      <c r="ES18" s="1" t="b">
        <v>0</v>
      </c>
      <c r="ET18" s="1" t="b">
        <v>0</v>
      </c>
      <c r="EU18" s="1" t="b">
        <v>0</v>
      </c>
      <c r="EV18" s="1" t="str" cm="1">
        <f t="array" ref="EV18">DeathTraded(ES18,$O$2,DV18,$O$2,DV34,$O$3,DV50,$O$4,DV66,$O$5,DV82,$O$6,$R$2)</f>
        <v>N/A</v>
      </c>
      <c r="EW18" s="1" t="str" cm="1">
        <f t="array" ref="EW18:FB18">DetermineKill(ConvertToRoundTime(secandmin(CB18),secandmin(CJ36),CC18),CA18,CE18,CF18,CD18,CH18,CG18,$O$2)</f>
        <v>NOLOC</v>
      </c>
      <c r="EX18" s="1" t="b">
        <v>0</v>
      </c>
      <c r="EY18" s="1" t="b">
        <v>0</v>
      </c>
      <c r="EZ18" s="1" t="b">
        <v>0</v>
      </c>
      <c r="FA18" s="1" t="b">
        <v>0</v>
      </c>
      <c r="FB18" s="1" t="b">
        <v>0</v>
      </c>
      <c r="FC18" s="1" t="str" cm="1">
        <f t="array" ref="FC18">DeathTraded(EZ18,$O$2,DV18,$O$2,DV34,$O$3,DV50,$O$4,DV66,$O$5,DV82,$O$6,$R$2)</f>
        <v>N/A</v>
      </c>
      <c r="FD18" s="1" t="str" cm="1">
        <f t="array" ref="FD18:FI18">DetermineKill(ConvertToRoundTime(secandmin(CK18),secandmin(CJ36),CL18),CJ18,CN18,CO18,CM18,CQ18,CP18,$O$2)</f>
        <v>NOLOC</v>
      </c>
      <c r="FE18" s="1" t="b">
        <v>0</v>
      </c>
      <c r="FF18" s="1" t="b">
        <v>0</v>
      </c>
      <c r="FG18" s="1" t="b">
        <v>0</v>
      </c>
      <c r="FH18" s="1" t="b">
        <v>0</v>
      </c>
      <c r="FI18" s="1" t="b">
        <v>0</v>
      </c>
      <c r="FJ18" s="1" t="str" cm="1">
        <f t="array" ref="FJ18">DeathTraded(FG18,$O$2,DV18,$O$2,DV34,$O$3,DV50,$O$4,DV66,$O$5,DV82,$O$6,$R$2)</f>
        <v>N/A</v>
      </c>
      <c r="FK18" s="1" t="str" cm="1">
        <f t="array" ref="FK18:FP18">DetermineKill(ConvertToRoundTime(secandmin(CT18),secandmin(CJ36),CU18),CS18,CW18,CX18,CV18,CZ18,CY18,$O$2)</f>
        <v>NOLOC</v>
      </c>
      <c r="FL18" s="1" t="b">
        <v>0</v>
      </c>
      <c r="FM18" s="1" t="b">
        <v>0</v>
      </c>
      <c r="FN18" s="1" t="b">
        <v>0</v>
      </c>
      <c r="FO18" s="1" t="b">
        <v>0</v>
      </c>
      <c r="FP18" s="1" t="b">
        <v>0</v>
      </c>
      <c r="FQ18" s="1" t="str" cm="1">
        <f t="array" ref="FQ18">DeathTraded(FN18,$O$2,DV18,$O$2,DV34,$O$3,DV50,$O$4,DV66,$O$5,DV82,$O$6,$R$2)</f>
        <v>N/A</v>
      </c>
      <c r="FR18" s="1" t="str" cm="1">
        <f t="array" ref="FR18:FW18">DetermineKill(ConvertToRoundTime(secandmin(DC18),secandmin(CJ36),DD18),DB18,DF18,DG18,DE18,DI18,DH18,$O$2)</f>
        <v>NOLOC</v>
      </c>
      <c r="FS18" s="1" t="b">
        <v>0</v>
      </c>
      <c r="FT18" s="1" t="b">
        <v>0</v>
      </c>
      <c r="FU18" s="1" t="b">
        <v>0</v>
      </c>
      <c r="FV18" s="1" t="b">
        <v>0</v>
      </c>
      <c r="FW18" s="1" t="b">
        <v>0</v>
      </c>
      <c r="FX18" s="1" t="str" cm="1">
        <f t="array" ref="FX18">DeathTraded(FU18,$O$2,DV18,$O$2,DV34,$O$3,DV50,$O$4,DV66,$O$5,DV82,$O$6,$R$2)</f>
        <v>N/A</v>
      </c>
      <c r="FY18" s="4">
        <v>12</v>
      </c>
      <c r="FZ18" s="1">
        <f t="shared" si="8"/>
        <v>0</v>
      </c>
      <c r="GA18" s="21">
        <f t="shared" si="9"/>
        <v>0</v>
      </c>
      <c r="GB18" s="1" t="str">
        <f t="shared" si="0"/>
        <v>NODATA</v>
      </c>
      <c r="GC18" s="13" t="str">
        <f t="shared" si="1"/>
        <v>NODATA</v>
      </c>
      <c r="GD18" s="1" t="str">
        <f t="shared" si="10"/>
        <v>NODATA</v>
      </c>
      <c r="GE18" s="1" t="str">
        <f t="shared" si="11"/>
        <v>NODATA</v>
      </c>
      <c r="GF18" s="1" t="str" cm="1">
        <f t="array" ref="GF18">IF($V$2=TRUE,IF(CH36="Attack",ConvertToRoundTime(secandmin(BC36),secandmin(CJ36),BD36),""),"NO DATA")</f>
        <v/>
      </c>
      <c r="GG18" s="1" t="str" cm="1">
        <f t="array" ref="GG18">IF($V$2=TRUE,IF(CH36="Attack",ConvertToRoundTime(secandmin(BE36),secandmin(CJ36),BF36),"")," NO DATA")</f>
        <v/>
      </c>
    </row>
    <row r="19" spans="27:189" x14ac:dyDescent="0.25">
      <c r="AB19" s="5">
        <v>13</v>
      </c>
      <c r="AC19" s="43"/>
      <c r="AD19" s="1" t="b">
        <v>0</v>
      </c>
      <c r="AE19" s="14"/>
      <c r="AF19" s="38"/>
      <c r="AG19" s="14"/>
      <c r="AH19" s="38"/>
      <c r="AJ19" s="5">
        <v>13</v>
      </c>
      <c r="AK19" s="43"/>
      <c r="AL19" s="1" t="b">
        <v>0</v>
      </c>
      <c r="AM19" s="14"/>
      <c r="AN19" s="38"/>
      <c r="AO19" s="14"/>
      <c r="AP19" s="38"/>
      <c r="AR19" s="5">
        <v>13</v>
      </c>
      <c r="AS19" s="43"/>
      <c r="AT19" s="1" t="b">
        <v>0</v>
      </c>
      <c r="AU19" s="14"/>
      <c r="AV19" s="38"/>
      <c r="AW19" s="14"/>
      <c r="AX19" s="38"/>
      <c r="AZ19" s="5">
        <v>13</v>
      </c>
      <c r="BA19" s="43"/>
      <c r="BB19" s="1" t="b">
        <v>0</v>
      </c>
      <c r="BC19" s="14"/>
      <c r="BD19" s="38"/>
      <c r="BE19" s="14"/>
      <c r="BF19" s="38"/>
      <c r="BH19" s="5">
        <v>13</v>
      </c>
      <c r="BI19" s="43"/>
      <c r="BJ19" s="1" t="b">
        <v>0</v>
      </c>
      <c r="BK19" s="14"/>
      <c r="BL19" s="38"/>
      <c r="BM19" s="14"/>
      <c r="BN19" s="38"/>
      <c r="BQ19" s="5">
        <v>13</v>
      </c>
      <c r="BR19" s="14"/>
      <c r="BS19" s="43"/>
      <c r="BT19" s="1" t="b">
        <v>0</v>
      </c>
      <c r="BU19" s="14"/>
      <c r="BV19" s="38"/>
      <c r="BW19" s="14"/>
      <c r="BX19" s="38"/>
      <c r="BY19" s="14"/>
      <c r="BZ19" s="5">
        <v>13</v>
      </c>
      <c r="CA19" s="14"/>
      <c r="CB19" s="43"/>
      <c r="CC19" s="1" t="b">
        <v>0</v>
      </c>
      <c r="CD19" s="14"/>
      <c r="CE19" s="38"/>
      <c r="CF19" s="14"/>
      <c r="CG19" s="38"/>
      <c r="CH19" s="14"/>
      <c r="CI19" s="5">
        <v>13</v>
      </c>
      <c r="CJ19" s="14"/>
      <c r="CK19" s="43"/>
      <c r="CL19" s="1" t="b">
        <v>0</v>
      </c>
      <c r="CM19" s="14"/>
      <c r="CN19" s="38"/>
      <c r="CO19" s="14"/>
      <c r="CP19" s="38"/>
      <c r="CQ19" s="14"/>
      <c r="CR19" s="5">
        <v>13</v>
      </c>
      <c r="CS19" s="14"/>
      <c r="CT19" s="43"/>
      <c r="CU19" s="1" t="b">
        <v>0</v>
      </c>
      <c r="CV19" s="14"/>
      <c r="CW19" s="38"/>
      <c r="CX19" s="14"/>
      <c r="CY19" s="38"/>
      <c r="CZ19" s="14"/>
      <c r="DA19" s="5">
        <v>13</v>
      </c>
      <c r="DB19" s="14"/>
      <c r="DC19" s="43"/>
      <c r="DD19" s="1" t="b">
        <v>0</v>
      </c>
      <c r="DE19" s="14"/>
      <c r="DF19" s="38"/>
      <c r="DG19" s="14"/>
      <c r="DH19" s="38"/>
      <c r="DI19" s="14"/>
      <c r="DP19" s="37"/>
      <c r="DQ19" s="48" t="str">
        <f ca="1">A2</f>
        <v>8_22 Skyscraper_1</v>
      </c>
      <c r="DR19" s="5">
        <v>13</v>
      </c>
      <c r="DS19" s="1" t="str">
        <v>Not Played</v>
      </c>
      <c r="DT19" s="1" t="str">
        <f t="shared" si="2"/>
        <v>Candle</v>
      </c>
      <c r="DU19" s="1" t="str">
        <v>Not Played</v>
      </c>
      <c r="DV19" s="21" t="b" cm="1">
        <f t="array" ref="DV19">ConvertToRoundTime(secandmin(AC19),secandmin(CJ37),AD19)</f>
        <v>0</v>
      </c>
      <c r="DW19" s="1" t="b">
        <v>0</v>
      </c>
      <c r="DX19" s="1" t="str" cm="1">
        <f t="array" ref="DX19">DeathRefragged(DV19,MAX(ES19,ES35,ES51,ES67,ES83,FA100),MAX(EZ19,EZ35,EZ51,EZ67,EZ83,FI100),MAX(FG19,FG35,FG51,FG67,FG83,FP100),MAX(FN19,FN35,FN51,FN67,FN83,FW100),MAX(FU19,FU35,FU51,FU67,FU83,GD100),$Q$2)</f>
        <v>N/A</v>
      </c>
      <c r="DY19" s="1" t="str" cm="1">
        <f t="array" ref="DY19">DeathTraded(DV19,DW19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19" s="1" t="b">
        <v>0</v>
      </c>
      <c r="EA19" s="1" t="str">
        <v>NOLOC</v>
      </c>
      <c r="EB19" s="1" t="b" cm="1">
        <f t="array" ref="EB19">OpeningDeath(MAX(ES19,ES35,ES51,ES67,ES83),DV19,DV35,DV51,DV67,DV83)</f>
        <v>0</v>
      </c>
      <c r="EC19" s="1" t="b" cm="1">
        <f t="array" ref="EC19">EntryDeath(DV19,DV35,DV51,DV67,DV83)</f>
        <v>0</v>
      </c>
      <c r="ED19" s="5">
        <v>13</v>
      </c>
      <c r="EE19" s="1">
        <f t="shared" si="3"/>
        <v>0</v>
      </c>
      <c r="EF19" s="1">
        <f t="shared" si="4"/>
        <v>0</v>
      </c>
      <c r="EG19" s="1">
        <f t="shared" si="5"/>
        <v>0</v>
      </c>
      <c r="EH19" s="1" cm="1">
        <f t="array" ref="EH19">ExitFrag(EN19,MAX(DV35,DV51,DV67,DV83),MAX(ES19,ES35,ES51,ES67,ES83,FA100),MAX(EZ19,EZ35,EZ51,EZ67,EZ83,FI100),MAX(FG19,FG35,FG51,FG67,FG83,FP100),MAX(FN19,FN35,FN51,FN67,FN83,FW100),MAX(FU19,FU35,FU51,FU67,FU83,GD100))</f>
        <v>0</v>
      </c>
      <c r="EI19" s="1" t="b" cm="1">
        <f t="array" ref="EI19">OpeningKill(ES19,ES35,ES51,ES67,ES83,FB100,DV19,DV35,DV51,DV67,DV83)</f>
        <v>0</v>
      </c>
      <c r="EJ19" s="1" t="b">
        <f t="shared" si="6"/>
        <v>0</v>
      </c>
      <c r="EK19" s="5">
        <v>13</v>
      </c>
      <c r="EL19" s="1" t="b">
        <v>0</v>
      </c>
      <c r="EM19" s="1" t="str" cm="1">
        <f t="array" ref="EM19">IF(NOT(ISBLANK(CP37)),KOST(EE19,DY19,DV19,EL19),"NOT PLAYED")</f>
        <v>NOT PLAYED</v>
      </c>
      <c r="EN19" s="1" t="b" cm="1">
        <f t="array" ref="EN19">OneVX(DV35,DV51,DV67,DV83,DV19)</f>
        <v>0</v>
      </c>
      <c r="EO19" s="1" t="b">
        <f t="shared" si="7"/>
        <v>0</v>
      </c>
      <c r="EP19" s="1" t="str" cm="1">
        <f t="array" ref="EP19:EU19">DetermineKill(ConvertToRoundTime(secandmin(BS19),secandmin(CJ37),BT19),BR19,BV19,BW19,BU19,BY19,BX19,$O$2)</f>
        <v>NOLOC</v>
      </c>
      <c r="EQ19" s="1" t="b">
        <v>0</v>
      </c>
      <c r="ER19" s="1" t="b">
        <v>0</v>
      </c>
      <c r="ES19" s="1" t="b">
        <v>0</v>
      </c>
      <c r="ET19" s="1" t="b">
        <v>0</v>
      </c>
      <c r="EU19" s="1" t="b">
        <v>0</v>
      </c>
      <c r="EV19" s="1" t="str" cm="1">
        <f t="array" ref="EV19">DeathTraded(ES19,$O$2,DV19,$O$2,DV35,$O$3,DV51,$O$4,DV67,$O$5,DV83,$O$6,$R$2)</f>
        <v>N/A</v>
      </c>
      <c r="EW19" s="1" t="str" cm="1">
        <f t="array" ref="EW19:FB19">DetermineKill(ConvertToRoundTime(secandmin(CB19),secandmin(CJ37),CC19),CA19,CE19,CF19,CD19,CH19,CG19,$O$2)</f>
        <v>NOLOC</v>
      </c>
      <c r="EX19" s="1" t="b">
        <v>0</v>
      </c>
      <c r="EY19" s="1" t="b">
        <v>0</v>
      </c>
      <c r="EZ19" s="1" t="b">
        <v>0</v>
      </c>
      <c r="FA19" s="1" t="b">
        <v>0</v>
      </c>
      <c r="FB19" s="1" t="b">
        <v>0</v>
      </c>
      <c r="FC19" s="1" t="str" cm="1">
        <f t="array" ref="FC19">DeathTraded(EZ19,$O$2,DV19,$O$2,DV35,$O$3,DV51,$O$4,DV67,$O$5,DV83,$O$6,$R$2)</f>
        <v>N/A</v>
      </c>
      <c r="FD19" s="1" t="str" cm="1">
        <f t="array" ref="FD19:FI19">DetermineKill(ConvertToRoundTime(secandmin(CK19),secandmin(CJ37),CL19),CJ19,CN19,CO19,CM19,CQ19,CP19,$O$2)</f>
        <v>NOLOC</v>
      </c>
      <c r="FE19" s="1" t="b">
        <v>0</v>
      </c>
      <c r="FF19" s="1" t="b">
        <v>0</v>
      </c>
      <c r="FG19" s="1" t="b">
        <v>0</v>
      </c>
      <c r="FH19" s="1" t="b">
        <v>0</v>
      </c>
      <c r="FI19" s="1" t="b">
        <v>0</v>
      </c>
      <c r="FJ19" s="1" t="str" cm="1">
        <f t="array" ref="FJ19">DeathTraded(FG19,$O$2,DV19,$O$2,DV35,$O$3,DV51,$O$4,DV67,$O$5,DV83,$O$6,$R$2)</f>
        <v>N/A</v>
      </c>
      <c r="FK19" s="1" t="str" cm="1">
        <f t="array" ref="FK19:FP19">DetermineKill(ConvertToRoundTime(secandmin(CT19),secandmin(CJ37),CU19),CS19,CW19,CX19,CV19,CZ19,CY19,$O$2)</f>
        <v>NOLOC</v>
      </c>
      <c r="FL19" s="1" t="b">
        <v>0</v>
      </c>
      <c r="FM19" s="1" t="b">
        <v>0</v>
      </c>
      <c r="FN19" s="1" t="b">
        <v>0</v>
      </c>
      <c r="FO19" s="1" t="b">
        <v>0</v>
      </c>
      <c r="FP19" s="1" t="b">
        <v>0</v>
      </c>
      <c r="FQ19" s="1" t="str" cm="1">
        <f t="array" ref="FQ19">DeathTraded(FN19,$O$2,DV19,$O$2,DV35,$O$3,DV51,$O$4,DV67,$O$5,DV83,$O$6,$R$2)</f>
        <v>N/A</v>
      </c>
      <c r="FR19" s="1" t="str" cm="1">
        <f t="array" ref="FR19:FW19">DetermineKill(ConvertToRoundTime(secandmin(DC19),secandmin(CJ37),DD19),DB19,DF19,DG19,DE19,DI19,DH19,$O$2)</f>
        <v>NOLOC</v>
      </c>
      <c r="FS19" s="1" t="b">
        <v>0</v>
      </c>
      <c r="FT19" s="1" t="b">
        <v>0</v>
      </c>
      <c r="FU19" s="1" t="b">
        <v>0</v>
      </c>
      <c r="FV19" s="1" t="b">
        <v>0</v>
      </c>
      <c r="FW19" s="1" t="b">
        <v>0</v>
      </c>
      <c r="FX19" s="1" t="str" cm="1">
        <f t="array" ref="FX19">DeathTraded(FU19,$O$2,DV19,$O$2,DV35,$O$3,DV51,$O$4,DV67,$O$5,DV83,$O$6,$R$2)</f>
        <v>N/A</v>
      </c>
      <c r="FY19" s="5">
        <v>13</v>
      </c>
      <c r="FZ19" s="1">
        <f t="shared" si="8"/>
        <v>0</v>
      </c>
      <c r="GA19" s="21">
        <f t="shared" si="9"/>
        <v>0</v>
      </c>
      <c r="GB19" s="1" t="str">
        <f t="shared" si="0"/>
        <v>NODATA</v>
      </c>
      <c r="GC19" s="13" t="str">
        <f t="shared" si="1"/>
        <v>NODATA</v>
      </c>
      <c r="GD19" s="1" t="str">
        <f t="shared" si="10"/>
        <v>NODATA</v>
      </c>
      <c r="GE19" s="1" t="str">
        <f t="shared" si="11"/>
        <v>NODATA</v>
      </c>
      <c r="GF19" s="1" t="str" cm="1">
        <f t="array" ref="GF19">IF($V$2=TRUE,IF(CH37="Attack",ConvertToRoundTime(secandmin(BC37),secandmin(CJ37),BD37),""),"NO DATA")</f>
        <v/>
      </c>
      <c r="GG19" s="1" t="str" cm="1">
        <f t="array" ref="GG19">IF($V$2=TRUE,IF(CH37="Attack",ConvertToRoundTime(secandmin(BE37),secandmin(CJ37),BF37),"")," NO DATA")</f>
        <v/>
      </c>
    </row>
    <row r="20" spans="27:189" x14ac:dyDescent="0.25">
      <c r="AB20" s="4">
        <v>14</v>
      </c>
      <c r="AC20" s="44"/>
      <c r="AD20" s="1" t="b">
        <v>0</v>
      </c>
      <c r="AE20" s="14"/>
      <c r="AF20" s="39"/>
      <c r="AG20" s="15"/>
      <c r="AH20" s="39"/>
      <c r="AJ20" s="4">
        <v>14</v>
      </c>
      <c r="AK20" s="44"/>
      <c r="AL20" s="1" t="b">
        <v>0</v>
      </c>
      <c r="AM20" s="14"/>
      <c r="AN20" s="39"/>
      <c r="AO20" s="15"/>
      <c r="AP20" s="39"/>
      <c r="AR20" s="4">
        <v>14</v>
      </c>
      <c r="AS20" s="44"/>
      <c r="AT20" s="1" t="b">
        <v>0</v>
      </c>
      <c r="AU20" s="14"/>
      <c r="AV20" s="39"/>
      <c r="AW20" s="15"/>
      <c r="AX20" s="39"/>
      <c r="AZ20" s="4">
        <v>14</v>
      </c>
      <c r="BA20" s="44"/>
      <c r="BB20" s="1" t="b">
        <v>0</v>
      </c>
      <c r="BC20" s="14"/>
      <c r="BD20" s="39"/>
      <c r="BE20" s="15"/>
      <c r="BF20" s="39"/>
      <c r="BH20" s="4">
        <v>14</v>
      </c>
      <c r="BI20" s="44"/>
      <c r="BJ20" s="1" t="b">
        <v>0</v>
      </c>
      <c r="BK20" s="14"/>
      <c r="BL20" s="39"/>
      <c r="BM20" s="15"/>
      <c r="BN20" s="39"/>
      <c r="BQ20" s="4">
        <v>14</v>
      </c>
      <c r="BR20" s="15"/>
      <c r="BS20" s="44"/>
      <c r="BT20" s="1" t="b">
        <v>0</v>
      </c>
      <c r="BU20" s="15"/>
      <c r="BV20" s="39"/>
      <c r="BW20" s="15"/>
      <c r="BX20" s="39"/>
      <c r="BY20" s="15"/>
      <c r="BZ20" s="4">
        <v>14</v>
      </c>
      <c r="CA20" s="15"/>
      <c r="CB20" s="44"/>
      <c r="CC20" s="1" t="b">
        <v>0</v>
      </c>
      <c r="CD20" s="15"/>
      <c r="CE20" s="39"/>
      <c r="CF20" s="15"/>
      <c r="CG20" s="39"/>
      <c r="CH20" s="15"/>
      <c r="CI20" s="4">
        <v>14</v>
      </c>
      <c r="CJ20" s="15"/>
      <c r="CK20" s="44"/>
      <c r="CL20" s="1" t="b">
        <v>0</v>
      </c>
      <c r="CM20" s="15"/>
      <c r="CN20" s="39"/>
      <c r="CO20" s="15"/>
      <c r="CP20" s="39"/>
      <c r="CQ20" s="15"/>
      <c r="CR20" s="4">
        <v>14</v>
      </c>
      <c r="CS20" s="15"/>
      <c r="CT20" s="44"/>
      <c r="CU20" s="1" t="b">
        <v>0</v>
      </c>
      <c r="CV20" s="15"/>
      <c r="CW20" s="39"/>
      <c r="CX20" s="15"/>
      <c r="CY20" s="39"/>
      <c r="CZ20" s="15"/>
      <c r="DA20" s="4">
        <v>14</v>
      </c>
      <c r="DB20" s="15"/>
      <c r="DC20" s="44"/>
      <c r="DD20" s="1" t="b">
        <v>0</v>
      </c>
      <c r="DE20" s="15"/>
      <c r="DF20" s="39"/>
      <c r="DG20" s="15"/>
      <c r="DH20" s="39"/>
      <c r="DI20" s="15"/>
      <c r="DP20" s="37"/>
      <c r="DQ20" s="48" t="str">
        <f ca="1">A2</f>
        <v>8_22 Skyscraper_1</v>
      </c>
      <c r="DR20" s="4">
        <v>14</v>
      </c>
      <c r="DS20" s="1" t="str">
        <v>Not Played</v>
      </c>
      <c r="DT20" s="1" t="str">
        <f t="shared" si="2"/>
        <v>Candle</v>
      </c>
      <c r="DU20" s="1" t="str">
        <v>Not Played</v>
      </c>
      <c r="DV20" s="21" t="b" cm="1">
        <f t="array" ref="DV20">ConvertToRoundTime(secandmin(AC20),secandmin(CJ38),AD20)</f>
        <v>0</v>
      </c>
      <c r="DW20" s="1" t="b">
        <v>0</v>
      </c>
      <c r="DX20" s="1" t="str" cm="1">
        <f t="array" ref="DX20">DeathRefragged(DV20,MAX(ES20,ES36,ES52,ES68,ES84,FA101),MAX(EZ20,EZ36,EZ52,EZ68,EZ84,FI101),MAX(FG20,FG36,FG52,FG68,FG84,FP101),MAX(FN20,FN36,FN52,FN68,FN84,FW101),MAX(FU20,FU36,FU52,FU68,FU84,GD101),$Q$2)</f>
        <v>N/A</v>
      </c>
      <c r="DY20" s="1" t="str" cm="1">
        <f t="array" ref="DY20">DeathTraded(DV20,DW20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20" s="1" t="b">
        <v>0</v>
      </c>
      <c r="EA20" s="1" t="str">
        <v>NOLOC</v>
      </c>
      <c r="EB20" s="1" t="b" cm="1">
        <f t="array" ref="EB20">OpeningDeath(MAX(ES20,ES36,ES52,ES68,ES84),DV20,DV36,DV52,DV68,DV84)</f>
        <v>0</v>
      </c>
      <c r="EC20" s="1" t="b" cm="1">
        <f t="array" ref="EC20">EntryDeath(DV20,DV36,DV52,DV68,DV84)</f>
        <v>0</v>
      </c>
      <c r="ED20" s="4">
        <v>14</v>
      </c>
      <c r="EE20" s="1">
        <f t="shared" si="3"/>
        <v>0</v>
      </c>
      <c r="EF20" s="1">
        <f t="shared" si="4"/>
        <v>0</v>
      </c>
      <c r="EG20" s="1">
        <f t="shared" si="5"/>
        <v>0</v>
      </c>
      <c r="EH20" s="1" cm="1">
        <f t="array" ref="EH20">ExitFrag(EN20,MAX(DV36,DV52,DV68,DV84),MAX(ES20,ES36,ES52,ES68,ES84,FA101),MAX(EZ20,EZ36,EZ52,EZ68,EZ84,FI101),MAX(FG20,FG36,FG52,FG68,FG84,FP101),MAX(FN20,FN36,FN52,FN68,FN84,FW101),MAX(FU20,FU36,FU52,FU68,FU84,GD101))</f>
        <v>0</v>
      </c>
      <c r="EI20" s="1" t="b" cm="1">
        <f t="array" ref="EI20">OpeningKill(ES20,ES36,ES52,ES68,ES84,FB101,DV20,DV36,DV52,DV68,DV84)</f>
        <v>0</v>
      </c>
      <c r="EJ20" s="1" t="b">
        <f t="shared" si="6"/>
        <v>0</v>
      </c>
      <c r="EK20" s="4">
        <v>14</v>
      </c>
      <c r="EL20" s="1" t="b">
        <v>0</v>
      </c>
      <c r="EM20" s="1" t="str" cm="1">
        <f t="array" ref="EM20">IF(NOT(ISBLANK(CP38)),KOST(EE20,DY20,DV20,EL20),"NOT PLAYED")</f>
        <v>NOT PLAYED</v>
      </c>
      <c r="EN20" s="1" t="b" cm="1">
        <f t="array" ref="EN20">OneVX(DV36,DV52,DV68,DV84,DV20)</f>
        <v>0</v>
      </c>
      <c r="EO20" s="1" t="b">
        <f t="shared" si="7"/>
        <v>0</v>
      </c>
      <c r="EP20" s="1" t="str" cm="1">
        <f t="array" ref="EP20:EU20">DetermineKill(ConvertToRoundTime(secandmin(BS20),secandmin(CJ38),BT20),BR20,BV20,BW20,BU20,BY20,BX20,$O$2)</f>
        <v>NOLOC</v>
      </c>
      <c r="EQ20" s="1" t="b">
        <v>0</v>
      </c>
      <c r="ER20" s="1" t="b">
        <v>0</v>
      </c>
      <c r="ES20" s="1" t="b">
        <v>0</v>
      </c>
      <c r="ET20" s="1" t="b">
        <v>0</v>
      </c>
      <c r="EU20" s="1" t="b">
        <v>0</v>
      </c>
      <c r="EV20" s="1" t="str" cm="1">
        <f t="array" ref="EV20">DeathTraded(ES20,$O$2,DV20,$O$2,DV36,$O$3,DV52,$O$4,DV68,$O$5,DV84,$O$6,$R$2)</f>
        <v>N/A</v>
      </c>
      <c r="EW20" s="1" t="str" cm="1">
        <f t="array" ref="EW20:FB20">DetermineKill(ConvertToRoundTime(secandmin(CB20),secandmin(CJ38),CC20),CA20,CE20,CF20,CD20,CH20,CG20,$O$2)</f>
        <v>NOLOC</v>
      </c>
      <c r="EX20" s="1" t="b">
        <v>0</v>
      </c>
      <c r="EY20" s="1" t="b">
        <v>0</v>
      </c>
      <c r="EZ20" s="1" t="b">
        <v>0</v>
      </c>
      <c r="FA20" s="1" t="b">
        <v>0</v>
      </c>
      <c r="FB20" s="1" t="b">
        <v>0</v>
      </c>
      <c r="FC20" s="1" t="str" cm="1">
        <f t="array" ref="FC20">DeathTraded(EZ20,$O$2,DV20,$O$2,DV36,$O$3,DV52,$O$4,DV68,$O$5,DV84,$O$6,$R$2)</f>
        <v>N/A</v>
      </c>
      <c r="FD20" s="1" t="str" cm="1">
        <f t="array" ref="FD20:FI20">DetermineKill(ConvertToRoundTime(secandmin(CK20),secandmin(CJ38),CL20),CJ20,CN20,CO20,CM20,CQ20,CP20,$O$2)</f>
        <v>NOLOC</v>
      </c>
      <c r="FE20" s="1" t="b">
        <v>0</v>
      </c>
      <c r="FF20" s="1" t="b">
        <v>0</v>
      </c>
      <c r="FG20" s="1" t="b">
        <v>0</v>
      </c>
      <c r="FH20" s="1" t="b">
        <v>0</v>
      </c>
      <c r="FI20" s="1" t="b">
        <v>0</v>
      </c>
      <c r="FJ20" s="1" t="str" cm="1">
        <f t="array" ref="FJ20">DeathTraded(FG20,$O$2,DV20,$O$2,DV36,$O$3,DV52,$O$4,DV68,$O$5,DV84,$O$6,$R$2)</f>
        <v>N/A</v>
      </c>
      <c r="FK20" s="1" t="str" cm="1">
        <f t="array" ref="FK20:FP20">DetermineKill(ConvertToRoundTime(secandmin(CT20),secandmin(CJ38),CU20),CS20,CW20,CX20,CV20,CZ20,CY20,$O$2)</f>
        <v>NOLOC</v>
      </c>
      <c r="FL20" s="1" t="b">
        <v>0</v>
      </c>
      <c r="FM20" s="1" t="b">
        <v>0</v>
      </c>
      <c r="FN20" s="1" t="b">
        <v>0</v>
      </c>
      <c r="FO20" s="1" t="b">
        <v>0</v>
      </c>
      <c r="FP20" s="1" t="b">
        <v>0</v>
      </c>
      <c r="FQ20" s="1" t="str" cm="1">
        <f t="array" ref="FQ20">DeathTraded(FN20,$O$2,DV20,$O$2,DV36,$O$3,DV52,$O$4,DV68,$O$5,DV84,$O$6,$R$2)</f>
        <v>N/A</v>
      </c>
      <c r="FR20" s="1" t="str" cm="1">
        <f t="array" ref="FR20:FW20">DetermineKill(ConvertToRoundTime(secandmin(DC20),secandmin(CJ38),DD20),DB20,DF20,DG20,DE20,DI20,DH20,$O$2)</f>
        <v>NOLOC</v>
      </c>
      <c r="FS20" s="1" t="b">
        <v>0</v>
      </c>
      <c r="FT20" s="1" t="b">
        <v>0</v>
      </c>
      <c r="FU20" s="1" t="b">
        <v>0</v>
      </c>
      <c r="FV20" s="1" t="b">
        <v>0</v>
      </c>
      <c r="FW20" s="1" t="b">
        <v>0</v>
      </c>
      <c r="FX20" s="1" t="str" cm="1">
        <f t="array" ref="FX20">DeathTraded(FU20,$O$2,DV20,$O$2,DV36,$O$3,DV52,$O$4,DV68,$O$5,DV84,$O$6,$R$2)</f>
        <v>N/A</v>
      </c>
      <c r="FY20" s="4">
        <v>14</v>
      </c>
      <c r="FZ20" s="1">
        <f t="shared" si="8"/>
        <v>0</v>
      </c>
      <c r="GA20" s="21">
        <f t="shared" si="9"/>
        <v>0</v>
      </c>
      <c r="GB20" s="1" t="str">
        <f t="shared" si="0"/>
        <v>NODATA</v>
      </c>
      <c r="GC20" s="13" t="str">
        <f t="shared" si="1"/>
        <v>NODATA</v>
      </c>
      <c r="GD20" s="1" t="str">
        <f t="shared" si="10"/>
        <v>NODATA</v>
      </c>
      <c r="GE20" s="1" t="str">
        <f t="shared" si="11"/>
        <v>NODATA</v>
      </c>
      <c r="GF20" s="1" t="str" cm="1">
        <f t="array" ref="GF20">IF($V$2=TRUE,IF(CH38="Attack",ConvertToRoundTime(secandmin(BC38),secandmin(CJ38),BD38),""),"NO DATA")</f>
        <v/>
      </c>
      <c r="GG20" s="1" t="str" cm="1">
        <f t="array" ref="GG20">IF($V$2=TRUE,IF(CH38="Attack",ConvertToRoundTime(secandmin(BE38),secandmin(CJ38),BF38),"")," NO DATA")</f>
        <v/>
      </c>
    </row>
    <row r="21" spans="27:189" x14ac:dyDescent="0.25">
      <c r="AB21" s="5">
        <v>15</v>
      </c>
      <c r="AC21" s="43"/>
      <c r="AD21" s="1" t="b">
        <v>0</v>
      </c>
      <c r="AE21" s="14"/>
      <c r="AF21" s="38"/>
      <c r="AG21" s="14"/>
      <c r="AH21" s="38"/>
      <c r="AJ21" s="5">
        <v>15</v>
      </c>
      <c r="AK21" s="43"/>
      <c r="AL21" s="1" t="b">
        <v>0</v>
      </c>
      <c r="AM21" s="14"/>
      <c r="AN21" s="38"/>
      <c r="AO21" s="14"/>
      <c r="AP21" s="38"/>
      <c r="AR21" s="5">
        <v>15</v>
      </c>
      <c r="AS21" s="43"/>
      <c r="AT21" s="1" t="b">
        <v>0</v>
      </c>
      <c r="AU21" s="14"/>
      <c r="AV21" s="38"/>
      <c r="AW21" s="14"/>
      <c r="AX21" s="38"/>
      <c r="AZ21" s="5">
        <v>15</v>
      </c>
      <c r="BA21" s="43"/>
      <c r="BB21" s="1" t="b">
        <v>0</v>
      </c>
      <c r="BC21" s="14"/>
      <c r="BD21" s="38"/>
      <c r="BE21" s="14"/>
      <c r="BF21" s="38"/>
      <c r="BH21" s="5">
        <v>15</v>
      </c>
      <c r="BI21" s="43"/>
      <c r="BJ21" s="1" t="b">
        <v>0</v>
      </c>
      <c r="BK21" s="14"/>
      <c r="BL21" s="38"/>
      <c r="BM21" s="14"/>
      <c r="BN21" s="38"/>
      <c r="BQ21" s="5">
        <v>15</v>
      </c>
      <c r="BR21" s="14"/>
      <c r="BS21" s="43"/>
      <c r="BT21" s="1" t="b">
        <v>0</v>
      </c>
      <c r="BU21" s="14"/>
      <c r="BV21" s="38"/>
      <c r="BW21" s="14"/>
      <c r="BX21" s="38"/>
      <c r="BY21" s="14"/>
      <c r="BZ21" s="5">
        <v>15</v>
      </c>
      <c r="CA21" s="14"/>
      <c r="CB21" s="43"/>
      <c r="CC21" s="1" t="b">
        <v>0</v>
      </c>
      <c r="CD21" s="14"/>
      <c r="CE21" s="38"/>
      <c r="CF21" s="14"/>
      <c r="CG21" s="38"/>
      <c r="CH21" s="14"/>
      <c r="CI21" s="5">
        <v>15</v>
      </c>
      <c r="CJ21" s="14"/>
      <c r="CK21" s="43"/>
      <c r="CL21" s="1" t="b">
        <v>0</v>
      </c>
      <c r="CM21" s="14"/>
      <c r="CN21" s="38"/>
      <c r="CO21" s="14"/>
      <c r="CP21" s="38"/>
      <c r="CQ21" s="14"/>
      <c r="CR21" s="5">
        <v>15</v>
      </c>
      <c r="CS21" s="14"/>
      <c r="CT21" s="43"/>
      <c r="CU21" s="1" t="b">
        <v>0</v>
      </c>
      <c r="CV21" s="14"/>
      <c r="CW21" s="38"/>
      <c r="CX21" s="14"/>
      <c r="CY21" s="38"/>
      <c r="CZ21" s="14"/>
      <c r="DA21" s="5">
        <v>15</v>
      </c>
      <c r="DB21" s="14"/>
      <c r="DC21" s="43"/>
      <c r="DD21" s="1" t="b">
        <v>0</v>
      </c>
      <c r="DE21" s="14"/>
      <c r="DF21" s="38"/>
      <c r="DG21" s="14"/>
      <c r="DH21" s="38"/>
      <c r="DI21" s="14"/>
      <c r="DP21" s="37"/>
      <c r="DQ21" s="48" t="str">
        <f ca="1">A2</f>
        <v>8_22 Skyscraper_1</v>
      </c>
      <c r="DR21" s="5">
        <v>15</v>
      </c>
      <c r="DS21" s="1" t="str">
        <v>Not Played</v>
      </c>
      <c r="DT21" s="1" t="str">
        <f t="shared" si="2"/>
        <v>Candle</v>
      </c>
      <c r="DU21" s="1" t="str">
        <v>Not Played</v>
      </c>
      <c r="DV21" s="21" t="b" cm="1">
        <f t="array" ref="DV21">ConvertToRoundTime(secandmin(AC21),secandmin(CJ39),AD21)</f>
        <v>0</v>
      </c>
      <c r="DW21" s="1" t="b">
        <v>0</v>
      </c>
      <c r="DX21" s="1" t="str" cm="1">
        <f t="array" ref="DX21">DeathRefragged(DV21,MAX(ES21,ES37,ES53,ES69,ES85,FA102),MAX(EZ21,EZ37,EZ53,EZ69,EZ85,FI102),MAX(FG21,FG37,FG53,FG69,FG85,FP102),MAX(FN21,FN37,FN53,FN69,FN85,FW102),MAX(FU21,FU37,FU53,FU69,FU85,GD102),$Q$2)</f>
        <v>N/A</v>
      </c>
      <c r="DY21" s="1" t="str" cm="1">
        <f t="array" ref="DY21">DeathTraded(DV21,DW21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21" s="1" t="b">
        <v>0</v>
      </c>
      <c r="EA21" s="1" t="str">
        <v>NOLOC</v>
      </c>
      <c r="EB21" s="1" t="b" cm="1">
        <f t="array" ref="EB21">OpeningDeath(MAX(ES21,ES37,ES53,ES69,ES85),DV21,DV37,DV53,DV69,DV85)</f>
        <v>0</v>
      </c>
      <c r="EC21" s="1" t="b" cm="1">
        <f t="array" ref="EC21">EntryDeath(DV21,DV37,DV53,DV69,DV85)</f>
        <v>0</v>
      </c>
      <c r="ED21" s="5">
        <v>15</v>
      </c>
      <c r="EE21" s="1">
        <f t="shared" si="3"/>
        <v>0</v>
      </c>
      <c r="EF21" s="1">
        <f t="shared" si="4"/>
        <v>0</v>
      </c>
      <c r="EG21" s="1">
        <f t="shared" si="5"/>
        <v>0</v>
      </c>
      <c r="EH21" s="1" cm="1">
        <f t="array" ref="EH21">ExitFrag(EN21,MAX(DV37,DV53,DV69,DV85),MAX(ES21,ES37,ES53,ES69,ES85,FA102),MAX(EZ21,EZ37,EZ53,EZ69,EZ85,FI102),MAX(FG21,FG37,FG53,FG69,FG85,FP102),MAX(FN21,FN37,FN53,FN69,FN85,FW102),MAX(FU21,FU37,FU53,FU69,FU85,GD102))</f>
        <v>0</v>
      </c>
      <c r="EI21" s="1" t="b" cm="1">
        <f t="array" ref="EI21">OpeningKill(ES21,ES37,ES53,ES69,ES85,FB102,DV21,DV37,DV53,DV69,DV85)</f>
        <v>0</v>
      </c>
      <c r="EJ21" s="1" t="b">
        <f t="shared" si="6"/>
        <v>0</v>
      </c>
      <c r="EK21" s="5">
        <v>15</v>
      </c>
      <c r="EL21" s="1" t="b">
        <v>0</v>
      </c>
      <c r="EM21" s="1" t="str" cm="1">
        <f t="array" ref="EM21">IF(NOT(ISBLANK(CP39)),KOST(EE21,DY21,DV21,EL21),"NOT PLAYED")</f>
        <v>NOT PLAYED</v>
      </c>
      <c r="EN21" s="1" t="b" cm="1">
        <f t="array" ref="EN21">OneVX(DV37,DV53,DV69,DV85,DV21)</f>
        <v>0</v>
      </c>
      <c r="EO21" s="1" t="b">
        <f t="shared" si="7"/>
        <v>0</v>
      </c>
      <c r="EP21" s="1" t="str" cm="1">
        <f t="array" ref="EP21:EU21">DetermineKill(ConvertToRoundTime(secandmin(BS21),secandmin(CJ39),BT21),BR21,BV21,BW21,BU21,BY21,BX21,$O$2)</f>
        <v>NOLOC</v>
      </c>
      <c r="EQ21" s="1" t="b">
        <v>0</v>
      </c>
      <c r="ER21" s="1" t="b">
        <v>0</v>
      </c>
      <c r="ES21" s="1" t="b">
        <v>0</v>
      </c>
      <c r="ET21" s="1" t="b">
        <v>0</v>
      </c>
      <c r="EU21" s="1" t="b">
        <v>0</v>
      </c>
      <c r="EV21" s="1" t="str" cm="1">
        <f t="array" ref="EV21">DeathTraded(ES21,$O$2,DV21,$O$2,DV37,$O$3,DV53,$O$4,DV69,$O$5,DV85,$O$6,$R$2)</f>
        <v>N/A</v>
      </c>
      <c r="EW21" s="1" t="str" cm="1">
        <f t="array" ref="EW21:FB21">DetermineKill(ConvertToRoundTime(secandmin(CB21),secandmin(CJ39),CC21),CA21,CE21,CF21,CD21,CH21,CG21,$O$2)</f>
        <v>NOLOC</v>
      </c>
      <c r="EX21" s="1" t="b">
        <v>0</v>
      </c>
      <c r="EY21" s="1" t="b">
        <v>0</v>
      </c>
      <c r="EZ21" s="1" t="b">
        <v>0</v>
      </c>
      <c r="FA21" s="1" t="b">
        <v>0</v>
      </c>
      <c r="FB21" s="1" t="b">
        <v>0</v>
      </c>
      <c r="FC21" s="1" t="str" cm="1">
        <f t="array" ref="FC21">DeathTraded(EZ21,$O$2,DV21,$O$2,DV37,$O$3,DV53,$O$4,DV69,$O$5,DV85,$O$6,$R$2)</f>
        <v>N/A</v>
      </c>
      <c r="FD21" s="1" t="str" cm="1">
        <f t="array" ref="FD21:FI21">DetermineKill(ConvertToRoundTime(secandmin(CK21),secandmin(CJ39),CL21),CJ21,CN21,CO21,CM21,CQ21,CP21,$O$2)</f>
        <v>NOLOC</v>
      </c>
      <c r="FE21" s="1" t="b">
        <v>0</v>
      </c>
      <c r="FF21" s="1" t="b">
        <v>0</v>
      </c>
      <c r="FG21" s="1" t="b">
        <v>0</v>
      </c>
      <c r="FH21" s="1" t="b">
        <v>0</v>
      </c>
      <c r="FI21" s="1" t="b">
        <v>0</v>
      </c>
      <c r="FJ21" s="1" t="str" cm="1">
        <f t="array" ref="FJ21">DeathTraded(FG21,$O$2,DV21,$O$2,DV37,$O$3,DV53,$O$4,DV69,$O$5,DV85,$O$6,$R$2)</f>
        <v>N/A</v>
      </c>
      <c r="FK21" s="1" t="str" cm="1">
        <f t="array" ref="FK21:FP21">DetermineKill(ConvertToRoundTime(secandmin(CT21),secandmin(CJ39),CU21),CS21,CW21,CX21,CV21,CZ21,CY21,$O$2)</f>
        <v>NOLOC</v>
      </c>
      <c r="FL21" s="1" t="b">
        <v>0</v>
      </c>
      <c r="FM21" s="1" t="b">
        <v>0</v>
      </c>
      <c r="FN21" s="1" t="b">
        <v>0</v>
      </c>
      <c r="FO21" s="1" t="b">
        <v>0</v>
      </c>
      <c r="FP21" s="1" t="b">
        <v>0</v>
      </c>
      <c r="FQ21" s="1" t="str" cm="1">
        <f t="array" ref="FQ21">DeathTraded(FN21,$O$2,DV21,$O$2,DV37,$O$3,DV53,$O$4,DV69,$O$5,DV85,$O$6,$R$2)</f>
        <v>N/A</v>
      </c>
      <c r="FR21" s="1" t="str" cm="1">
        <f t="array" ref="FR21:FW21">DetermineKill(ConvertToRoundTime(secandmin(DC21),secandmin(CJ39),DD21),DB21,DF21,DG21,DE21,DI21,DH21,$O$2)</f>
        <v>NOLOC</v>
      </c>
      <c r="FS21" s="1" t="b">
        <v>0</v>
      </c>
      <c r="FT21" s="1" t="b">
        <v>0</v>
      </c>
      <c r="FU21" s="1" t="b">
        <v>0</v>
      </c>
      <c r="FV21" s="1" t="b">
        <v>0</v>
      </c>
      <c r="FW21" s="1" t="b">
        <v>0</v>
      </c>
      <c r="FX21" s="1" t="str" cm="1">
        <f t="array" ref="FX21">DeathTraded(FU21,$O$2,DV21,$O$2,DV37,$O$3,DV53,$O$4,DV69,$O$5,DV85,$O$6,$R$2)</f>
        <v>N/A</v>
      </c>
      <c r="FY21" s="5">
        <v>15</v>
      </c>
      <c r="FZ21" s="1">
        <f t="shared" si="8"/>
        <v>0</v>
      </c>
      <c r="GA21" s="21">
        <f t="shared" si="9"/>
        <v>0</v>
      </c>
      <c r="GB21" s="1" t="str">
        <f t="shared" si="0"/>
        <v>NODATA</v>
      </c>
      <c r="GC21" s="13" t="str">
        <f>IF($T$2=TRUE,IF(AND(ISBLANK(AP39),CH39="Defence"),0,IF(NOT(CH39="Defence"),"",AP39)),"NODATA")</f>
        <v>NODATA</v>
      </c>
      <c r="GD21" s="1" t="str">
        <f t="shared" si="10"/>
        <v>NODATA</v>
      </c>
      <c r="GE21" s="1" t="str">
        <f t="shared" si="11"/>
        <v>NODATA</v>
      </c>
      <c r="GF21" s="1" t="str" cm="1">
        <f t="array" ref="GF21">IF($V$2=TRUE,IF(CH39="Attack",ConvertToRoundTime(secandmin(BC39),secandmin(CJ39),BD39),""),"NO DATA")</f>
        <v/>
      </c>
      <c r="GG21" s="1" t="str" cm="1">
        <f t="array" ref="GG21">IF($V$2=TRUE,IF(CH39="Attack",ConvertToRoundTime(secandmin(BE39),secandmin(CJ39),BF39),"")," NO DATA")</f>
        <v/>
      </c>
    </row>
    <row r="22" spans="27:189" x14ac:dyDescent="0.25">
      <c r="DP22" s="36" t="str">
        <f>$O$3</f>
        <v>Chos3n</v>
      </c>
      <c r="DQ22" s="48" t="s">
        <v>326</v>
      </c>
      <c r="DR22" s="16" t="s">
        <v>46</v>
      </c>
      <c r="DS22" s="9" t="s">
        <v>55</v>
      </c>
      <c r="DT22" s="21" t="s">
        <v>310</v>
      </c>
      <c r="DU22" s="21" t="s">
        <v>323</v>
      </c>
      <c r="DV22" s="21" t="s">
        <v>54</v>
      </c>
      <c r="DW22" s="50" t="s">
        <v>62</v>
      </c>
      <c r="DX22" s="50" t="s">
        <v>219</v>
      </c>
      <c r="DY22" s="50" t="s">
        <v>220</v>
      </c>
      <c r="DZ22" s="50" t="s">
        <v>221</v>
      </c>
      <c r="EA22" s="50" t="s">
        <v>245</v>
      </c>
      <c r="EB22" s="50" t="s">
        <v>257</v>
      </c>
      <c r="EC22" s="50" t="s">
        <v>258</v>
      </c>
      <c r="ED22" s="51" t="s">
        <v>405</v>
      </c>
      <c r="EE22" s="50" t="s">
        <v>9</v>
      </c>
      <c r="EF22" s="50" t="s">
        <v>222</v>
      </c>
      <c r="EG22" s="50" t="s">
        <v>223</v>
      </c>
      <c r="EH22" s="50" t="s">
        <v>246</v>
      </c>
      <c r="EI22" s="50" t="s">
        <v>259</v>
      </c>
      <c r="EJ22" s="50" t="s">
        <v>260</v>
      </c>
      <c r="EK22" s="51" t="s">
        <v>406</v>
      </c>
      <c r="EL22" s="21" t="s">
        <v>324</v>
      </c>
      <c r="EM22" s="50" t="s">
        <v>33</v>
      </c>
      <c r="EN22" s="50" t="s">
        <v>66</v>
      </c>
      <c r="EO22" s="21" t="s">
        <v>35</v>
      </c>
      <c r="EP22" s="13" t="s">
        <v>60</v>
      </c>
      <c r="EQ22" s="13" t="s">
        <v>340</v>
      </c>
      <c r="ER22" s="13" t="s">
        <v>311</v>
      </c>
      <c r="ES22" s="13" t="s">
        <v>312</v>
      </c>
      <c r="ET22" s="13" t="s">
        <v>41</v>
      </c>
      <c r="EU22" s="13" t="s">
        <v>338</v>
      </c>
      <c r="EV22" s="13" t="s">
        <v>339</v>
      </c>
      <c r="EW22" s="21" t="s">
        <v>61</v>
      </c>
      <c r="EX22" s="21" t="s">
        <v>423</v>
      </c>
      <c r="EY22" s="21" t="s">
        <v>313</v>
      </c>
      <c r="EZ22" s="21" t="s">
        <v>314</v>
      </c>
      <c r="FA22" s="21" t="s">
        <v>422</v>
      </c>
      <c r="FB22" s="21" t="s">
        <v>421</v>
      </c>
      <c r="FC22" s="21" t="s">
        <v>420</v>
      </c>
      <c r="FD22" s="13" t="s">
        <v>63</v>
      </c>
      <c r="FE22" s="13" t="s">
        <v>419</v>
      </c>
      <c r="FF22" s="13" t="s">
        <v>315</v>
      </c>
      <c r="FG22" s="13" t="s">
        <v>316</v>
      </c>
      <c r="FH22" s="13" t="s">
        <v>418</v>
      </c>
      <c r="FI22" s="13" t="s">
        <v>417</v>
      </c>
      <c r="FJ22" s="13" t="s">
        <v>416</v>
      </c>
      <c r="FK22" s="21" t="s">
        <v>64</v>
      </c>
      <c r="FL22" s="21" t="s">
        <v>415</v>
      </c>
      <c r="FM22" s="21" t="s">
        <v>317</v>
      </c>
      <c r="FN22" s="21" t="s">
        <v>318</v>
      </c>
      <c r="FO22" s="21" t="s">
        <v>414</v>
      </c>
      <c r="FP22" s="21" t="s">
        <v>413</v>
      </c>
      <c r="FQ22" s="21" t="s">
        <v>412</v>
      </c>
      <c r="FR22" s="13" t="s">
        <v>65</v>
      </c>
      <c r="FS22" s="13" t="s">
        <v>411</v>
      </c>
      <c r="FT22" s="13" t="s">
        <v>319</v>
      </c>
      <c r="FU22" s="13" t="s">
        <v>320</v>
      </c>
      <c r="FV22" s="13" t="s">
        <v>409</v>
      </c>
      <c r="FW22" s="13" t="s">
        <v>408</v>
      </c>
      <c r="FX22" s="13" t="s">
        <v>410</v>
      </c>
      <c r="FY22" s="16" t="s">
        <v>407</v>
      </c>
      <c r="FZ22" s="21" t="s">
        <v>249</v>
      </c>
      <c r="GA22" s="21" t="s">
        <v>250</v>
      </c>
      <c r="GB22" s="21" t="s">
        <v>58</v>
      </c>
      <c r="GC22" s="21" t="s">
        <v>57</v>
      </c>
      <c r="GD22" s="21" t="s">
        <v>42</v>
      </c>
      <c r="GE22" s="21" t="s">
        <v>43</v>
      </c>
      <c r="GF22" s="21" t="s">
        <v>247</v>
      </c>
      <c r="GG22" s="21" t="s">
        <v>248</v>
      </c>
    </row>
    <row r="23" spans="27:189" x14ac:dyDescent="0.25">
      <c r="AW23" t="s">
        <v>296</v>
      </c>
      <c r="CP23" s="7" t="str" cm="1">
        <f t="array" ref="CP23:CT23">TRANSPOSE(O2:O6)</f>
        <v>Candle</v>
      </c>
      <c r="CQ23" s="3" t="str">
        <v>Chos3n</v>
      </c>
      <c r="CR23" s="7" t="str">
        <v>Ozone</v>
      </c>
      <c r="CS23" s="3" t="str">
        <v>Krypticz</v>
      </c>
      <c r="CT23" s="7" t="str">
        <v>Aggro</v>
      </c>
      <c r="DP23" s="37"/>
      <c r="DQ23" s="48" t="str">
        <f ca="1">A2</f>
        <v>8_22 Skyscraper_1</v>
      </c>
      <c r="DR23" s="5">
        <v>1</v>
      </c>
      <c r="DS23" s="1" t="str" cm="1">
        <f t="array" ref="DS23:DS37">IF($CH$25:$CH$39=0,"Not Played", $CH$25:$CH$39)</f>
        <v>Attack</v>
      </c>
      <c r="DT23" s="1" t="str">
        <f>$O$3</f>
        <v>Chos3n</v>
      </c>
      <c r="DU23" s="1" t="str" cm="1">
        <f t="array" ref="DU23:DU37">IF($CQ$25:$CQ39=0,"Not Played",$CQ$25:$CQ39)</f>
        <v>Montagne</v>
      </c>
      <c r="DV23" s="21" cm="1">
        <f t="array" ref="DV23">ConvertToRoundTime(secandmin(AK7),secandmin(CJ25),AL7)</f>
        <v>116</v>
      </c>
      <c r="DW23" s="1" t="str" cm="1">
        <f t="array" ref="DW23:DW37">IF($AM$7:$AM$21=0,FALSE,$AM$7:$AM$21)</f>
        <v>Kouiyn</v>
      </c>
      <c r="DX23" s="1" t="b" cm="1">
        <f t="array" ref="DX23">DeathRefragged(DV23,MAX(ES7,ES23,ES39,ES55,ES71,FA88),MAX(EZ7,EZ23,EZ39,EZ55,EZ71,FI88),MAX(FG7,FG23,FG39,FG55,FG71,FP88),MAX(FN7,FN23,FN39,FN55,FN71,FW88),MAX(FU7,FU23,FU39,FU55,FU71,GD88),$Q$2)</f>
        <v>0</v>
      </c>
      <c r="DY23" s="1" t="b" cm="1">
        <f t="array" ref="DY23">DeathTraded(DV23,DW23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0</v>
      </c>
      <c r="DZ23" s="1" t="b" cm="1">
        <f t="array" ref="DZ23:DZ37">IF($AO$7:$AO$21=0,FALSE,$AO$7:$AO21)</f>
        <v>0</v>
      </c>
      <c r="EA23" s="1" t="str" cm="1">
        <f t="array" ref="EA23:EA37">IF($AN$7:$AN$21=0,"NOLOC",$AN$7:$AN$21)</f>
        <v>NOLOC</v>
      </c>
      <c r="EB23" s="1" t="b" cm="1">
        <f t="array" ref="EB23">OpeningDeath(MAX(ES7,ES23,ES39,ES55,ES71),DV23,DV7,DV39,DV55,DV71)</f>
        <v>0</v>
      </c>
      <c r="EC23" s="1" t="b" cm="1">
        <f t="array" ref="EC23">EntryDeath(DV23,DV7,DV39,DV55,DV71)</f>
        <v>0</v>
      </c>
      <c r="ED23" s="5">
        <v>1</v>
      </c>
      <c r="EE23" s="1">
        <f t="shared" ref="EE23:EE37" si="12">SUM(IF(ES23=FALSE,0,1),IF(EZ23=FALSE,0,1),IF(FG23=FALSE,0,1),IF(FN23=FALSE,0,1),IF(FU23=FALSE,0,1))</f>
        <v>0</v>
      </c>
      <c r="EF23" s="1">
        <f>SUM(IF(EU23=TRUE,1,0),IF(FI23=TRUE,1,0),IF(FP23=TRUE,1,0),IF(FW23=TRUE,1,0),IF(FB23=TRUE,1,0))</f>
        <v>0</v>
      </c>
      <c r="EG23" s="1">
        <f>SUM(IF(EQ23=TRUE,1,0),IF(FE23=TRUE,1,0),IF(FL23=TRUE,1,0),IF(FS23=TRUE,1,0),IF(EX23=TRUE,1,0))</f>
        <v>0</v>
      </c>
      <c r="EH23" s="1" cm="1">
        <f t="array" ref="EH23">ExitFrag(EN23,MAX(DV7,DV39,DV55,DV71),MAX(ES7,ES23,ES39,ES55,ES71,FA88),MAX(EZ7,EZ23,EZ39,EZ55,EZ71,FI88),MAX(FG7,FG23,FG39,FG55,FG71,FP88),MAX(FN7,FN23,FN39,FN55,FN71,FW88),MAX(FU7,FU23,FU39,FU55,FU71,GD88))</f>
        <v>0</v>
      </c>
      <c r="EI23" s="1" t="b" cm="1">
        <f t="array" ref="EI23">OpeningKill(ES23,ES7,ES39,ES55,ES71,FB88,DV7,DV23,DV39,DV55,DV71)</f>
        <v>0</v>
      </c>
      <c r="EJ23" s="1" t="b">
        <f>IF(ES23=FALSE,FALSE,TRUE)</f>
        <v>0</v>
      </c>
      <c r="EK23" s="5">
        <v>1</v>
      </c>
      <c r="EL23" s="1" t="b" cm="1">
        <f t="array" ref="EL23:EL37">IF($AP$7:$AP$21=0,FALSE,$AP$7:$AP21)</f>
        <v>0</v>
      </c>
      <c r="EM23" s="1" t="b" cm="1">
        <f t="array" ref="EM23">IF(NOT(ISBLANK(CP25)),KOST(EE23,DY23,DV23,EL23),"NOT PLAYED")</f>
        <v>0</v>
      </c>
      <c r="EN23" s="1" t="b" cm="1">
        <f t="array" ref="EN23">OneVX(DV39,DV55,DV71,DV7,DV23)</f>
        <v>0</v>
      </c>
      <c r="EO23" s="1" t="b">
        <f>IF(AND(EN23=TRUE,CM25="Won"),TRUE,FALSE)</f>
        <v>0</v>
      </c>
      <c r="EP23" s="1" t="str" cm="1">
        <f t="array" ref="EP23:EU23">DetermineKill(ConvertToRoundTime(secandmin(BS7),secandmin(CJ25),BT7),BR7,BV7,BW7,BU7,BY7,BX7,$O$3)</f>
        <v>NOLOC</v>
      </c>
      <c r="EQ23" s="1" t="b">
        <v>0</v>
      </c>
      <c r="ER23" s="1" t="b">
        <v>0</v>
      </c>
      <c r="ES23" s="1" t="b">
        <v>0</v>
      </c>
      <c r="ET23" s="1" t="b">
        <v>0</v>
      </c>
      <c r="EU23" s="1" t="b">
        <v>0</v>
      </c>
      <c r="EV23" s="1" t="str" cm="1">
        <f t="array" ref="EV23">DeathTraded(ES23,$O$3,DV7,$O$2,DV23,$O$3,DV39,$O$4,DV55,$O$5,DV71,$O$6,$R$2)</f>
        <v>N/A</v>
      </c>
      <c r="EW23" s="1" t="str" cm="1">
        <f t="array" ref="EW23:FB23">DetermineKill(ConvertToRoundTime(secandmin(CB7),secandmin(CJ25),CC7),CA7,CE7,CF7,CD7,CH7,CG7,$O$3)</f>
        <v>NOLOC</v>
      </c>
      <c r="EX23" s="1" t="b">
        <v>0</v>
      </c>
      <c r="EY23" s="1" t="b">
        <v>0</v>
      </c>
      <c r="EZ23" s="1" t="b">
        <v>0</v>
      </c>
      <c r="FA23" s="1" t="b">
        <v>0</v>
      </c>
      <c r="FB23" s="1" t="b">
        <v>0</v>
      </c>
      <c r="FC23" s="1" t="str" cm="1">
        <f t="array" ref="FC23">DeathTraded(EZ23,$O$3,DV7,$O$2,DV23,$O$3,DV39,$O$4,DV55,$O$5,DV71,$O$6,$R$2)</f>
        <v>N/A</v>
      </c>
      <c r="FD23" s="1" t="str" cm="1">
        <f t="array" ref="FD23:FI23">DetermineKill(ConvertToRoundTime(secandmin(CK7),secandmin(CJ25),CL7),CJ7,CN7,CO7,CM7,CQ7,CP7,$O$3)</f>
        <v>NOLOC</v>
      </c>
      <c r="FE23" s="1" t="b">
        <v>0</v>
      </c>
      <c r="FF23" s="1" t="b">
        <v>0</v>
      </c>
      <c r="FG23" s="1" t="b">
        <v>0</v>
      </c>
      <c r="FH23" s="1" t="b">
        <v>0</v>
      </c>
      <c r="FI23" s="1" t="b">
        <v>0</v>
      </c>
      <c r="FJ23" s="1" t="str" cm="1">
        <f t="array" ref="FJ23">DeathTraded(FG23,$O$3,DV7,$O$2,DV23,$O$3,DV39,$O$4,DV55,$O$5,DV71,$O$6,$R$2)</f>
        <v>N/A</v>
      </c>
      <c r="FK23" s="1" t="str" cm="1">
        <f t="array" ref="FK23:FP23">DetermineKill(ConvertToRoundTime(secandmin(CT7),secandmin(CJ25),CU7),CS7,CW7,CX7,CV7,CZ7,CY7,$O$3)</f>
        <v>NOLOC</v>
      </c>
      <c r="FL23" s="1" t="b">
        <v>0</v>
      </c>
      <c r="FM23" s="1" t="b">
        <v>0</v>
      </c>
      <c r="FN23" s="1" t="b">
        <v>0</v>
      </c>
      <c r="FO23" s="1" t="b">
        <v>0</v>
      </c>
      <c r="FP23" s="1" t="b">
        <v>0</v>
      </c>
      <c r="FQ23" s="1" t="str" cm="1">
        <f t="array" ref="FQ23">DeathTraded(FN23,$O$3,DV7,$O$2,DV23,$O$3,DV39,$O$4,DV55,$O$5,DV71,$O$6,$R$2)</f>
        <v>N/A</v>
      </c>
      <c r="FR23" s="1" t="str" cm="1">
        <f t="array" ref="FR23:FW23">DetermineKill(ConvertToRoundTime(secandmin(DC7),secandmin(CJ25),DD7),DB7,DF7,DG7,DE7,DI7,DH7,$O$3)</f>
        <v>NOLOC</v>
      </c>
      <c r="FS23" s="1" t="b">
        <v>0</v>
      </c>
      <c r="FT23" s="1" t="b">
        <v>0</v>
      </c>
      <c r="FU23" s="1" t="b">
        <v>0</v>
      </c>
      <c r="FV23" s="1" t="b">
        <v>0</v>
      </c>
      <c r="FW23" s="1" t="b">
        <v>0</v>
      </c>
      <c r="FX23" s="1" t="str" cm="1">
        <f t="array" ref="FX23">DeathTraded(FU23,$O$3,DV7,$O$2,DV23,$O$3,DV39,$O$4,DV55,$O$5,DV71,$O$6,$R$2)</f>
        <v>N/A</v>
      </c>
      <c r="FY23" s="5">
        <v>1</v>
      </c>
      <c r="FZ23" s="1">
        <f>IF($U$2=TRUE,SUM(FV23,FO23,FH23,FA23,ET23),"NO DATA")</f>
        <v>0</v>
      </c>
      <c r="GA23" s="21">
        <f>IF($U$2=TRUE,SUM(IF(CP25=$O$3,1,0),IF(CQ25=$O$3,1,0),IF(CR25=$O$3,1,0),IF(CS25=$O$3,1,0),IF(CT25=$O$3,1,0)),"NO DATA")</f>
        <v>0</v>
      </c>
      <c r="GB23" s="1" t="str">
        <f t="shared" ref="GB23:GB37" si="13">IF($T$2=TRUE,IF(AND(ISBLANK(AL25),CH25="Defence"),0,IF(NOT(CH25="Defence"),"",AL25)),"NODATA")</f>
        <v>NODATA</v>
      </c>
      <c r="GC23" s="13" t="str">
        <f>IF($T$2=TRUE,IF(AND(ISBLANK(AQ25),CH25="Defence"),0,IF(NOT(CH25="Defence"),"",AQ25)),"NODATA")</f>
        <v>NODATA</v>
      </c>
      <c r="GD23" s="1" t="str">
        <f>IF($T$2=TRUE,IF(AND(ISBLANK(AE25),CH25="Attack"),FALSE,IF(NOT(CH25="Attack"),"",AE25)),"NODATA")</f>
        <v>NODATA</v>
      </c>
      <c r="GE23" s="1" t="str">
        <f>IF($T$2=TRUE,IF(AND(ISBLANK(AD42),CH25="Attack"),2,IF(NOT(CH25="Attack"),"",AD42)),"NODATA")</f>
        <v>NODATA</v>
      </c>
      <c r="GF23" s="1" t="b" cm="1">
        <f t="array" ref="GF23">IF($V$2=TRUE,IF(CH25="Attack",ConvertToRoundTime(secandmin(BI25),secandmin(CJ25),BJ25),""),"NO DATA")</f>
        <v>0</v>
      </c>
      <c r="GG23" s="1" t="b" cm="1">
        <f t="array" ref="GG23">IF($V$2=TRUE,IF(CH25="Attack",ConvertToRoundTime(secandmin(BK25),secandmin(CJ25),BL25),""),"NO DATA")</f>
        <v>0</v>
      </c>
    </row>
    <row r="24" spans="27:189" x14ac:dyDescent="0.25">
      <c r="AA24" s="36" t="s">
        <v>224</v>
      </c>
      <c r="AB24" s="16" t="s">
        <v>46</v>
      </c>
      <c r="AC24" s="7" t="s">
        <v>42</v>
      </c>
      <c r="AD24" s="5" t="s">
        <v>225</v>
      </c>
      <c r="AE24" s="5" t="s">
        <v>226</v>
      </c>
      <c r="AF24" s="5" t="s">
        <v>227</v>
      </c>
      <c r="AG24" s="5" t="s">
        <v>228</v>
      </c>
      <c r="AH24" s="5" t="s">
        <v>229</v>
      </c>
      <c r="AI24" s="3" t="s">
        <v>58</v>
      </c>
      <c r="AJ24" s="7" t="s">
        <v>57</v>
      </c>
      <c r="AK24" s="5" t="s">
        <v>230</v>
      </c>
      <c r="AL24" s="5" t="s">
        <v>231</v>
      </c>
      <c r="AM24" s="5" t="s">
        <v>232</v>
      </c>
      <c r="AN24" s="5" t="s">
        <v>233</v>
      </c>
      <c r="AO24" s="5" t="s">
        <v>229</v>
      </c>
      <c r="AP24" s="10" t="s">
        <v>234</v>
      </c>
      <c r="AQ24" s="10" t="s">
        <v>235</v>
      </c>
      <c r="AR24" s="10" t="s">
        <v>236</v>
      </c>
      <c r="AS24" s="10" t="s">
        <v>237</v>
      </c>
      <c r="AT24" s="10" t="s">
        <v>238</v>
      </c>
      <c r="AU24" s="36" t="s">
        <v>251</v>
      </c>
      <c r="AV24" s="16" t="s">
        <v>46</v>
      </c>
      <c r="AW24" s="3" t="s">
        <v>252</v>
      </c>
      <c r="AX24" s="7" t="s">
        <v>253</v>
      </c>
      <c r="AY24" s="3" t="s">
        <v>254</v>
      </c>
      <c r="AZ24" s="7" t="s">
        <v>255</v>
      </c>
      <c r="BA24" s="3" t="s">
        <v>256</v>
      </c>
      <c r="BB24" s="16" t="s">
        <v>46</v>
      </c>
      <c r="BC24" s="7" t="s">
        <v>264</v>
      </c>
      <c r="BD24" s="10" t="s">
        <v>295</v>
      </c>
      <c r="BE24" s="3" t="s">
        <v>265</v>
      </c>
      <c r="BF24" s="10" t="s">
        <v>295</v>
      </c>
      <c r="BG24" s="37" t="s">
        <v>272</v>
      </c>
      <c r="BH24" s="16" t="s">
        <v>46</v>
      </c>
      <c r="BI24" s="7" t="s">
        <v>266</v>
      </c>
      <c r="BJ24" s="10" t="s">
        <v>295</v>
      </c>
      <c r="BK24" s="3" t="s">
        <v>267</v>
      </c>
      <c r="BL24" s="10" t="s">
        <v>295</v>
      </c>
      <c r="BM24" s="37" t="s">
        <v>272</v>
      </c>
      <c r="BN24" s="16" t="s">
        <v>46</v>
      </c>
      <c r="BO24" s="7" t="s">
        <v>268</v>
      </c>
      <c r="BP24" s="10" t="s">
        <v>295</v>
      </c>
      <c r="BQ24" s="3" t="s">
        <v>269</v>
      </c>
      <c r="BR24" s="10" t="s">
        <v>295</v>
      </c>
      <c r="BS24" s="37" t="s">
        <v>272</v>
      </c>
      <c r="BT24" s="16" t="s">
        <v>46</v>
      </c>
      <c r="BU24" s="7" t="s">
        <v>270</v>
      </c>
      <c r="BV24" s="10" t="s">
        <v>295</v>
      </c>
      <c r="BW24" s="3" t="s">
        <v>271</v>
      </c>
      <c r="BX24" s="10" t="s">
        <v>295</v>
      </c>
      <c r="BY24" s="37" t="s">
        <v>272</v>
      </c>
      <c r="BZ24" s="16" t="s">
        <v>46</v>
      </c>
      <c r="CA24" s="7" t="s">
        <v>273</v>
      </c>
      <c r="CB24" s="10" t="s">
        <v>295</v>
      </c>
      <c r="CC24" s="3" t="s">
        <v>274</v>
      </c>
      <c r="CD24" s="10" t="s">
        <v>295</v>
      </c>
      <c r="CE24" s="37" t="s">
        <v>272</v>
      </c>
      <c r="CF24" s="10" t="s">
        <v>295</v>
      </c>
      <c r="CG24" s="36" t="s">
        <v>283</v>
      </c>
      <c r="CH24" s="7" t="s">
        <v>55</v>
      </c>
      <c r="CI24" s="3" t="s">
        <v>284</v>
      </c>
      <c r="CJ24" s="7" t="s">
        <v>285</v>
      </c>
      <c r="CK24" s="3" t="s">
        <v>286</v>
      </c>
      <c r="CL24" s="7" t="s">
        <v>287</v>
      </c>
      <c r="CM24" s="3" t="s">
        <v>56</v>
      </c>
      <c r="CO24" s="36" t="s">
        <v>82</v>
      </c>
      <c r="CP24" s="7" t="s">
        <v>288</v>
      </c>
      <c r="CQ24" s="3" t="s">
        <v>289</v>
      </c>
      <c r="CR24" s="7" t="s">
        <v>290</v>
      </c>
      <c r="CS24" s="3" t="s">
        <v>291</v>
      </c>
      <c r="CT24" s="7" t="s">
        <v>292</v>
      </c>
      <c r="DP24" s="37"/>
      <c r="DQ24" s="48" t="str">
        <f ca="1">A2</f>
        <v>8_22 Skyscraper_1</v>
      </c>
      <c r="DR24" s="4">
        <v>2</v>
      </c>
      <c r="DS24" s="1" t="str">
        <v>Attack</v>
      </c>
      <c r="DT24" s="1" t="str">
        <f t="shared" ref="DT24:DT37" si="14">$O$3</f>
        <v>Chos3n</v>
      </c>
      <c r="DU24" s="1" t="str">
        <v>Ace</v>
      </c>
      <c r="DV24" s="21" t="b" cm="1">
        <f t="array" ref="DV24">ConvertToRoundTime(secandmin(AK8),secandmin(CJ26),AL8)</f>
        <v>0</v>
      </c>
      <c r="DW24" s="1" t="b">
        <v>0</v>
      </c>
      <c r="DX24" s="1" t="str" cm="1">
        <f t="array" ref="DX24">DeathRefragged(DV24,MAX(ES8,ES24,ES40,ES56,ES72,FA89),MAX(EZ8,EZ24,EZ40,EZ56,EZ72,FI89),MAX(FG8,FG24,FG40,FG56,FG72,FP89),MAX(FN8,FN24,FN40,FN56,FN72,FW89),MAX(FU8,FU24,FU40,FU56,FU72,GD89),$Q$2)</f>
        <v>N/A</v>
      </c>
      <c r="DY24" s="1" t="str" cm="1">
        <f t="array" ref="DY24">DeathTraded(DV24,DW24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24" s="1" t="b">
        <v>0</v>
      </c>
      <c r="EA24" s="1" t="str">
        <v>NOLOC</v>
      </c>
      <c r="EB24" s="1" t="b" cm="1">
        <f t="array" ref="EB24">OpeningDeath(MAX(ES8,ES24,ES40,ES56,ES72),DV24,DV8,DV40,DV56,DV72)</f>
        <v>0</v>
      </c>
      <c r="EC24" s="1" t="b" cm="1">
        <f t="array" ref="EC24">EntryDeath(DV24,DV8,DV40,DV56,DV72)</f>
        <v>0</v>
      </c>
      <c r="ED24" s="4">
        <v>2</v>
      </c>
      <c r="EE24" s="1">
        <f t="shared" si="12"/>
        <v>1</v>
      </c>
      <c r="EF24" s="1">
        <f t="shared" ref="EF24:EF37" si="15">SUM(IF(EU24=TRUE,1,0),IF(FI24=TRUE,1,0),IF(FP24=TRUE,1,0),IF(FW24=TRUE,1,0),IF(FB24=TRUE,1,0))</f>
        <v>1</v>
      </c>
      <c r="EG24" s="1">
        <f t="shared" ref="EG24:EG37" si="16">SUM(IF(EQ24=TRUE,1,0),IF(FE24=TRUE,1,0),IF(FL24=TRUE,1,0),IF(FS24=TRUE,1,0),IF(EX24=TRUE,1,0))</f>
        <v>0</v>
      </c>
      <c r="EH24" s="1" cm="1">
        <f t="array" ref="EH24">ExitFrag(EN24,MAX(DV8,DV40,DV56,DV72),MAX(ES8,ES24,ES40,ES56,ES72,FA89),MAX(EZ8,EZ24,EZ40,EZ56,EZ72,FI89),MAX(FG8,FG24,FG40,FG56,FG72,FP89),MAX(FN8,FN24,FN40,FN56,FN72,FW89),MAX(FU8,FU24,FU40,FU56,FU72,GD89))</f>
        <v>0</v>
      </c>
      <c r="EI24" s="1" t="b" cm="1">
        <f t="array" ref="EI24">OpeningKill(ES24,ES8,ES40,ES56,ES72,FB89,DV8,DV24,DV40,DV56,DV72)</f>
        <v>0</v>
      </c>
      <c r="EJ24" s="1" t="b">
        <f t="shared" ref="EJ24:EJ37" si="17">IF(ES24=FALSE,FALSE,TRUE)</f>
        <v>0</v>
      </c>
      <c r="EK24" s="4">
        <v>2</v>
      </c>
      <c r="EL24" s="1" t="b">
        <v>1</v>
      </c>
      <c r="EM24" s="1" t="b" cm="1">
        <f t="array" ref="EM24">IF(NOT(ISBLANK(CP26)),KOST(EE24,DY24,DV24,EL24),"NOT PLAYED")</f>
        <v>1</v>
      </c>
      <c r="EN24" s="1" t="b" cm="1">
        <f t="array" ref="EN24">OneVX(DV40,DV56,DV72,DV8,DV24)</f>
        <v>0</v>
      </c>
      <c r="EO24" s="1" t="b">
        <f t="shared" ref="EO24:EO36" si="18">IF(AND(EN24=TRUE,CM26="Won"),TRUE,FALSE)</f>
        <v>0</v>
      </c>
      <c r="EP24" s="1" t="str" cm="1">
        <f t="array" ref="EP24:EU24">DetermineKill(ConvertToRoundTime(secandmin(BS8),secandmin(CJ26),BT8),BR8,BV8,BW8,BU8,BY8,BX8,$O$3)</f>
        <v>NOLOC</v>
      </c>
      <c r="EQ24" s="1" t="b">
        <v>0</v>
      </c>
      <c r="ER24" s="1" t="b">
        <v>0</v>
      </c>
      <c r="ES24" s="1" t="b">
        <v>0</v>
      </c>
      <c r="ET24" s="1" t="b">
        <v>0</v>
      </c>
      <c r="EU24" s="1" t="b">
        <v>0</v>
      </c>
      <c r="EV24" s="1" t="str" cm="1">
        <f t="array" ref="EV24">DeathTraded(ES24,$O$3,DV8,$O$2,DV24,$O$3,DV40,$O$4,DV56,$O$5,DV72,$O$6,$R$2)</f>
        <v>N/A</v>
      </c>
      <c r="EW24" s="1" t="str" cm="1">
        <f t="array" ref="EW24:FB24">DetermineKill(ConvertToRoundTime(secandmin(CB8),secandmin(CJ26),CC8),CA8,CE8,CF8,CD8,CH8,CG8,$O$3)</f>
        <v>NOLOC</v>
      </c>
      <c r="EX24" s="1" t="b">
        <v>0</v>
      </c>
      <c r="EY24" s="1" t="b">
        <v>0</v>
      </c>
      <c r="EZ24" s="1" t="b">
        <v>0</v>
      </c>
      <c r="FA24" s="1" t="b">
        <v>0</v>
      </c>
      <c r="FB24" s="1" t="b">
        <v>0</v>
      </c>
      <c r="FC24" s="1" t="str" cm="1">
        <f t="array" ref="FC24">DeathTraded(EZ24,$O$3,DV8,$O$2,DV24,$O$3,DV40,$O$4,DV56,$O$5,DV72,$O$6,$R$2)</f>
        <v>N/A</v>
      </c>
      <c r="FD24" s="1" t="str" cm="1">
        <f t="array" ref="FD24:FI24">DetermineKill(ConvertToRoundTime(secandmin(CK8),secandmin(CJ26),CL8),CJ8,CN8,CO8,CM8,CQ8,CP8,$O$3)</f>
        <v>NOLOC</v>
      </c>
      <c r="FE24" s="1" t="b">
        <v>0</v>
      </c>
      <c r="FF24" s="1" t="b">
        <v>0</v>
      </c>
      <c r="FG24" s="1" t="b">
        <v>0</v>
      </c>
      <c r="FH24" s="1" t="b">
        <v>0</v>
      </c>
      <c r="FI24" s="1" t="b">
        <v>0</v>
      </c>
      <c r="FJ24" s="1" t="str" cm="1">
        <f t="array" ref="FJ24">DeathTraded(FG24,$O$3,DV8,$O$2,DV24,$O$3,DV40,$O$4,DV56,$O$5,DV72,$O$6,$R$2)</f>
        <v>N/A</v>
      </c>
      <c r="FK24" s="1" t="str" cm="1">
        <f t="array" ref="FK24:FP24">DetermineKill(ConvertToRoundTime(secandmin(CT8),secandmin(CJ26),CU8),CS8,CW8,CX8,CV8,CZ8,CY8,$O$3)</f>
        <v>NOLOC</v>
      </c>
      <c r="FL24" s="1" t="b">
        <v>0</v>
      </c>
      <c r="FM24" s="1" t="b">
        <v>0</v>
      </c>
      <c r="FN24" s="1" t="b">
        <v>0</v>
      </c>
      <c r="FO24" s="1" t="b">
        <v>0</v>
      </c>
      <c r="FP24" s="1" t="b">
        <v>0</v>
      </c>
      <c r="FQ24" s="1" t="str" cm="1">
        <f t="array" ref="FQ24">DeathTraded(FN24,$O$3,DV8,$O$2,DV24,$O$3,DV40,$O$4,DV56,$O$5,DV72,$O$6,$R$2)</f>
        <v>N/A</v>
      </c>
      <c r="FR24" s="1" t="str" cm="1">
        <f t="array" ref="FR24:FW24">DetermineKill(ConvertToRoundTime(secandmin(DC8),secandmin(CJ26),DD8),DB8,DF8,DG8,DE8,DI8,DH8,$O$3)</f>
        <v>UNKNOWN</v>
      </c>
      <c r="FS24" s="1" t="b">
        <v>0</v>
      </c>
      <c r="FT24" s="1" t="str">
        <v>Rival</v>
      </c>
      <c r="FU24" s="1">
        <v>144</v>
      </c>
      <c r="FV24" s="1" t="b">
        <v>0</v>
      </c>
      <c r="FW24" s="1" t="b">
        <v>1</v>
      </c>
      <c r="FX24" s="1" t="b" cm="1">
        <f t="array" ref="FX24">DeathTraded(FU24,$O$3,DV8,$O$2,DV24,$O$3,DV40,$O$4,DV56,$O$5,DV72,$O$6,$R$2)</f>
        <v>0</v>
      </c>
      <c r="FY24" s="4">
        <v>2</v>
      </c>
      <c r="FZ24" s="1">
        <f t="shared" ref="FZ24:FZ37" si="19">IF($U$2=TRUE,SUM(FV24,FO24,FH24,FA24,ET24),"NO DATA")</f>
        <v>0</v>
      </c>
      <c r="GA24" s="21">
        <f t="shared" ref="GA24:GA37" si="20">IF($U$2=TRUE,SUM(IF(CP26=$O$3,1,0),IF(CQ26=$O$3,1,0),IF(CR26=$O$3,1,0),IF(CS26=$O$3,1,0),IF(CT26=$O$3,1,0)),"NO DATA")</f>
        <v>0</v>
      </c>
      <c r="GB24" s="1" t="str">
        <f t="shared" si="13"/>
        <v>NODATA</v>
      </c>
      <c r="GC24" s="13" t="str">
        <f t="shared" ref="GC24:GC37" si="21">IF($T$2=TRUE,IF(AND(ISBLANK(AQ26),CH26="Defence"),0,IF(NOT(CH26="Defence"),"",AQ26)),"NODATA")</f>
        <v>NODATA</v>
      </c>
      <c r="GD24" s="1" t="str">
        <f>IF($T$2=TRUE,IF(AND(ISBLANK(AE26),CH26="Attack"),FALSE,IF(NOT(CH26="Attack"),"",AE26)),"NODATA")</f>
        <v>NODATA</v>
      </c>
      <c r="GE24" s="1" t="str">
        <f t="shared" ref="GE24:GE37" si="22">IF($T$2=TRUE,IF(AND(ISBLANK(AD43),CH26="Attack"),2,IF(NOT(CH26="Attack"),"",AD43)),"NODATA")</f>
        <v>NODATA</v>
      </c>
      <c r="GF24" s="1" t="b" cm="1">
        <f t="array" ref="GF24">IF($V$2=TRUE,IF(CH26="Attack",ConvertToRoundTime(secandmin(BI26),secandmin(CJ26),BJ26),""),"NO DATA")</f>
        <v>0</v>
      </c>
      <c r="GG24" s="1" t="b" cm="1">
        <f t="array" ref="GG24">IF($V$2=TRUE,IF(CH26="Attack",ConvertToRoundTime(secandmin(BQ26),secandmin(CJ26),BR26),""),"NO DATA")</f>
        <v>0</v>
      </c>
    </row>
    <row r="25" spans="27:189" x14ac:dyDescent="0.25">
      <c r="AB25" s="5">
        <v>1</v>
      </c>
      <c r="AC25" s="14">
        <v>0</v>
      </c>
      <c r="AD25" s="38"/>
      <c r="AE25" s="14"/>
      <c r="AF25" s="38"/>
      <c r="AG25" s="14"/>
      <c r="AH25" s="38"/>
      <c r="AI25" s="14"/>
      <c r="AJ25" s="38"/>
      <c r="AK25" s="14"/>
      <c r="AL25" s="38"/>
      <c r="AM25" s="14"/>
      <c r="AN25" s="38"/>
      <c r="AO25" s="14"/>
      <c r="AP25" s="38"/>
      <c r="AQ25" s="14"/>
      <c r="AR25" s="38"/>
      <c r="AS25" s="14"/>
      <c r="AT25" s="38"/>
      <c r="AV25" s="5">
        <v>1</v>
      </c>
      <c r="AW25" s="14"/>
      <c r="AX25" s="38"/>
      <c r="AY25" s="14"/>
      <c r="AZ25" s="38"/>
      <c r="BA25" s="14"/>
      <c r="BB25" s="5">
        <v>1</v>
      </c>
      <c r="BC25" s="45"/>
      <c r="BD25" s="1" t="b">
        <v>0</v>
      </c>
      <c r="BE25" s="43"/>
      <c r="BF25" s="1" t="b">
        <v>0</v>
      </c>
      <c r="BG25" s="37"/>
      <c r="BH25" s="5">
        <v>1</v>
      </c>
      <c r="BI25" s="45"/>
      <c r="BJ25" s="1" t="b">
        <v>0</v>
      </c>
      <c r="BK25" s="43"/>
      <c r="BL25" s="1" t="b">
        <v>0</v>
      </c>
      <c r="BM25" s="37"/>
      <c r="BN25" s="5">
        <v>1</v>
      </c>
      <c r="BO25" s="45"/>
      <c r="BP25" s="1" t="b">
        <v>0</v>
      </c>
      <c r="BQ25" s="43"/>
      <c r="BR25" s="1" t="b">
        <v>0</v>
      </c>
      <c r="BS25" s="37"/>
      <c r="BT25" s="5">
        <v>1</v>
      </c>
      <c r="BU25" s="45"/>
      <c r="BV25" s="1" t="b">
        <v>0</v>
      </c>
      <c r="BW25" s="43"/>
      <c r="BX25" s="1" t="b">
        <v>0</v>
      </c>
      <c r="BY25" s="37"/>
      <c r="BZ25" s="5">
        <v>1</v>
      </c>
      <c r="CA25" s="45"/>
      <c r="CB25" s="1" t="b">
        <v>0</v>
      </c>
      <c r="CC25" s="43"/>
      <c r="CD25" s="1" t="b">
        <v>0</v>
      </c>
      <c r="CE25" s="37"/>
      <c r="CF25" s="1" t="b">
        <v>0</v>
      </c>
      <c r="CH25" s="14" t="s">
        <v>360</v>
      </c>
      <c r="CI25" s="38" t="s">
        <v>196</v>
      </c>
      <c r="CJ25" s="45"/>
      <c r="CK25" s="43" t="s">
        <v>440</v>
      </c>
      <c r="CL25" s="14"/>
      <c r="CM25" s="43" t="s">
        <v>362</v>
      </c>
      <c r="CP25" s="14" t="s">
        <v>98</v>
      </c>
      <c r="CQ25" s="38" t="s">
        <v>458</v>
      </c>
      <c r="CR25" s="14" t="s">
        <v>108</v>
      </c>
      <c r="CS25" s="38" t="s">
        <v>92</v>
      </c>
      <c r="CT25" s="14" t="s">
        <v>104</v>
      </c>
      <c r="DP25" s="37"/>
      <c r="DQ25" s="48" t="str">
        <f ca="1">A2</f>
        <v>8_22 Skyscraper_1</v>
      </c>
      <c r="DR25" s="5">
        <v>3</v>
      </c>
      <c r="DS25" s="1" t="str">
        <v>Attack</v>
      </c>
      <c r="DT25" s="1" t="str">
        <f t="shared" si="14"/>
        <v>Chos3n</v>
      </c>
      <c r="DU25" s="1" t="str">
        <v>Montagne</v>
      </c>
      <c r="DV25" s="21" cm="1">
        <f t="array" ref="DV25">ConvertToRoundTime(secandmin(AK9),secandmin(CJ27),AL9)</f>
        <v>161</v>
      </c>
      <c r="DW25" s="1" t="str">
        <v>Snipey</v>
      </c>
      <c r="DX25" s="1" t="b" cm="1">
        <f t="array" ref="DX25">DeathRefragged(DV25,MAX(ES9,ES25,ES41,ES57,ES73,FA90),MAX(EZ9,EZ25,EZ41,EZ57,EZ73,FI90),MAX(FG9,FG25,FG41,FG57,FG73,FP90),MAX(FN9,FN25,FN41,FN57,FN73,FW90),MAX(FU9,FU25,FU41,FU57,FU73,GD90),$Q$2)</f>
        <v>0</v>
      </c>
      <c r="DY25" s="1" t="b" cm="1">
        <f t="array" ref="DY25">DeathTraded(DV25,DW25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0</v>
      </c>
      <c r="DZ25" s="1" t="b">
        <v>0</v>
      </c>
      <c r="EA25" s="1" t="str">
        <v>NOLOC</v>
      </c>
      <c r="EB25" s="1" t="b" cm="1">
        <f t="array" ref="EB25">OpeningDeath(MAX(ES9,ES25,ES41,ES57,ES73),DV25,DV9,DV41,DV57,DV73)</f>
        <v>0</v>
      </c>
      <c r="EC25" s="1" t="b" cm="1">
        <f t="array" ref="EC25">EntryDeath(DV25,DV9,DV41,DV57,DV73)</f>
        <v>0</v>
      </c>
      <c r="ED25" s="5">
        <v>3</v>
      </c>
      <c r="EE25" s="1">
        <f t="shared" si="12"/>
        <v>1</v>
      </c>
      <c r="EF25" s="1">
        <f t="shared" si="15"/>
        <v>0</v>
      </c>
      <c r="EG25" s="1">
        <f t="shared" si="16"/>
        <v>0</v>
      </c>
      <c r="EH25" s="1" cm="1">
        <f t="array" ref="EH25">ExitFrag(EN25,MAX(DV9,DV41,DV57,DV73),MAX(ES9,ES25,ES41,ES57,ES73,FA90),MAX(EZ9,EZ25,EZ41,EZ57,EZ73,FI90),MAX(FG9,FG25,FG41,FG57,FG73,FP90),MAX(FN9,FN25,FN41,FN57,FN73,FW90),MAX(FU9,FU25,FU41,FU57,FU73,GD90))</f>
        <v>0</v>
      </c>
      <c r="EI25" s="1" t="b" cm="1">
        <f t="array" ref="EI25">OpeningKill(ES25,ES9,ES41,ES57,ES73,FB90,DV9,DV25,DV41,DV57,DV73)</f>
        <v>0</v>
      </c>
      <c r="EJ25" s="1" t="b">
        <f t="shared" si="17"/>
        <v>1</v>
      </c>
      <c r="EK25" s="5">
        <v>3</v>
      </c>
      <c r="EL25" s="1" t="b">
        <v>0</v>
      </c>
      <c r="EM25" s="1" t="b" cm="1">
        <f t="array" ref="EM25">IF(NOT(ISBLANK(CP27)),KOST(EE25,DY25,DV25,EL25),"NOT PLAYED")</f>
        <v>1</v>
      </c>
      <c r="EN25" s="1" t="b" cm="1">
        <f t="array" ref="EN25">OneVX(DV41,DV57,DV73,DV9,DV25)</f>
        <v>1</v>
      </c>
      <c r="EO25" s="1" t="b">
        <f t="shared" si="18"/>
        <v>0</v>
      </c>
      <c r="EP25" s="1" t="str" cm="1">
        <f t="array" ref="EP25:EU25">DetermineKill(ConvertToRoundTime(secandmin(BS9),secandmin(CJ27),BT9),BR9,BV9,BW9,BU9,BY9,BX9,$O$3)</f>
        <v>UNKNOWN</v>
      </c>
      <c r="EQ25" s="1" t="b">
        <v>0</v>
      </c>
      <c r="ER25" s="1" t="str">
        <v>Kiru</v>
      </c>
      <c r="ES25" s="1">
        <v>144</v>
      </c>
      <c r="ET25" s="1" t="b">
        <v>0</v>
      </c>
      <c r="EU25" s="1" t="b">
        <v>0</v>
      </c>
      <c r="EV25" s="1" t="b" cm="1">
        <f t="array" ref="EV25">DeathTraded(ES25,$O$3,DV9,$O$2,DV25,$O$3,DV41,$O$4,DV57,$O$5,DV73,$O$6,$R$2)</f>
        <v>0</v>
      </c>
      <c r="EW25" s="1" t="str" cm="1">
        <f t="array" ref="EW25:FB25">DetermineKill(ConvertToRoundTime(secandmin(CB9),secandmin(CJ27),CC9),CA9,CE9,CF9,CD9,CH9,CG9,$O$3)</f>
        <v>NOLOC</v>
      </c>
      <c r="EX25" s="1" t="b">
        <v>0</v>
      </c>
      <c r="EY25" s="1" t="b">
        <v>0</v>
      </c>
      <c r="EZ25" s="1" t="b">
        <v>0</v>
      </c>
      <c r="FA25" s="1" t="b">
        <v>0</v>
      </c>
      <c r="FB25" s="1" t="b">
        <v>0</v>
      </c>
      <c r="FC25" s="1" t="str" cm="1">
        <f t="array" ref="FC25">DeathTraded(EZ25,$O$3,DV9,$O$2,DV25,$O$3,DV41,$O$4,DV57,$O$5,DV73,$O$6,$R$2)</f>
        <v>N/A</v>
      </c>
      <c r="FD25" s="1" t="str" cm="1">
        <f t="array" ref="FD25:FI25">DetermineKill(ConvertToRoundTime(secandmin(CK9),secandmin(CJ27),CL9),CJ9,CN9,CO9,CM9,CQ9,CP9,$O$3)</f>
        <v>NOLOC</v>
      </c>
      <c r="FE25" s="1" t="b">
        <v>0</v>
      </c>
      <c r="FF25" s="1" t="b">
        <v>0</v>
      </c>
      <c r="FG25" s="1" t="b">
        <v>0</v>
      </c>
      <c r="FH25" s="1" t="b">
        <v>0</v>
      </c>
      <c r="FI25" s="1" t="b">
        <v>0</v>
      </c>
      <c r="FJ25" s="1" t="str" cm="1">
        <f t="array" ref="FJ25">DeathTraded(FG25,$O$3,DV9,$O$2,DV25,$O$3,DV41,$O$4,DV57,$O$5,DV73,$O$6,$R$2)</f>
        <v>N/A</v>
      </c>
      <c r="FK25" s="1" t="str" cm="1">
        <f t="array" ref="FK25:FP25">DetermineKill(ConvertToRoundTime(secandmin(CT9),secandmin(CJ27),CU9),CS9,CW9,CX9,CV9,CZ9,CY9,$O$3)</f>
        <v>NOLOC</v>
      </c>
      <c r="FL25" s="1" t="b">
        <v>0</v>
      </c>
      <c r="FM25" s="1" t="b">
        <v>0</v>
      </c>
      <c r="FN25" s="1" t="b">
        <v>0</v>
      </c>
      <c r="FO25" s="1" t="b">
        <v>0</v>
      </c>
      <c r="FP25" s="1" t="b">
        <v>0</v>
      </c>
      <c r="FQ25" s="1" t="str" cm="1">
        <f t="array" ref="FQ25">DeathTraded(FN25,$O$3,DV9,$O$2,DV25,$O$3,DV41,$O$4,DV57,$O$5,DV73,$O$6,$R$2)</f>
        <v>N/A</v>
      </c>
      <c r="FR25" s="1" t="str" cm="1">
        <f t="array" ref="FR25:FW25">DetermineKill(ConvertToRoundTime(secandmin(DC9),secandmin(CJ27),DD9),DB9,DF9,DG9,DE9,DI9,DH9,$O$3)</f>
        <v>NOLOC</v>
      </c>
      <c r="FS25" s="1" t="b">
        <v>0</v>
      </c>
      <c r="FT25" s="1" t="b">
        <v>0</v>
      </c>
      <c r="FU25" s="1" t="b">
        <v>0</v>
      </c>
      <c r="FV25" s="1" t="b">
        <v>0</v>
      </c>
      <c r="FW25" s="1" t="b">
        <v>0</v>
      </c>
      <c r="FX25" s="1" t="str" cm="1">
        <f t="array" ref="FX25">DeathTraded(FU25,$O$3,DV9,$O$2,DV25,$O$3,DV41,$O$4,DV57,$O$5,DV73,$O$6,$R$2)</f>
        <v>N/A</v>
      </c>
      <c r="FY25" s="5">
        <v>3</v>
      </c>
      <c r="FZ25" s="1">
        <f t="shared" si="19"/>
        <v>0</v>
      </c>
      <c r="GA25" s="21">
        <f t="shared" si="20"/>
        <v>0</v>
      </c>
      <c r="GB25" s="1" t="str">
        <f t="shared" si="13"/>
        <v>NODATA</v>
      </c>
      <c r="GC25" s="13" t="str">
        <f t="shared" si="21"/>
        <v>NODATA</v>
      </c>
      <c r="GD25" s="1" t="str">
        <f>IF($T$2=TRUE,IF(AND(ISBLANK(AE27),CH27="Attack"),FALSE,IF(NOT(CH27="Attack"),"",AE27)),"NODATA")</f>
        <v>NODATA</v>
      </c>
      <c r="GE25" s="1" t="str">
        <f t="shared" si="22"/>
        <v>NODATA</v>
      </c>
      <c r="GF25" s="1" t="b" cm="1">
        <f t="array" ref="GF25">IF($V$2=TRUE,IF(CH27="Attack",ConvertToRoundTime(secandmin(BI27),secandmin(CJ27),BJ27),""),"NO DATA")</f>
        <v>0</v>
      </c>
      <c r="GG25" s="1" t="b" cm="1">
        <f t="array" ref="GG25">IF($V$2=TRUE,IF(CH27="Attack",ConvertToRoundTime(secandmin(BQ27),secandmin(CJ27),BR27),""),"NO DATA")</f>
        <v>0</v>
      </c>
    </row>
    <row r="26" spans="27:189" x14ac:dyDescent="0.25">
      <c r="AB26" s="4">
        <v>2</v>
      </c>
      <c r="AC26" s="15">
        <v>1</v>
      </c>
      <c r="AD26" s="39"/>
      <c r="AE26" s="15"/>
      <c r="AF26" s="39"/>
      <c r="AG26" s="15"/>
      <c r="AH26" s="39"/>
      <c r="AI26" s="15"/>
      <c r="AJ26" s="39"/>
      <c r="AK26" s="15"/>
      <c r="AL26" s="39"/>
      <c r="AM26" s="15"/>
      <c r="AN26" s="39"/>
      <c r="AO26" s="15"/>
      <c r="AP26" s="39"/>
      <c r="AQ26" s="15"/>
      <c r="AR26" s="39"/>
      <c r="AS26" s="15"/>
      <c r="AT26" s="39"/>
      <c r="AV26" s="4">
        <v>2</v>
      </c>
      <c r="AW26" s="15"/>
      <c r="AX26" s="39"/>
      <c r="AY26" s="15"/>
      <c r="AZ26" s="39"/>
      <c r="BA26" s="15"/>
      <c r="BB26" s="4">
        <v>2</v>
      </c>
      <c r="BC26" s="46"/>
      <c r="BD26" s="1" t="b">
        <v>0</v>
      </c>
      <c r="BE26" s="44"/>
      <c r="BF26" s="1" t="b">
        <v>0</v>
      </c>
      <c r="BG26" s="37"/>
      <c r="BH26" s="4">
        <v>2</v>
      </c>
      <c r="BI26" s="46"/>
      <c r="BJ26" s="1" t="b">
        <v>0</v>
      </c>
      <c r="BK26" s="44"/>
      <c r="BL26" s="1" t="b">
        <v>0</v>
      </c>
      <c r="BM26" s="37"/>
      <c r="BN26" s="4">
        <v>2</v>
      </c>
      <c r="BO26" s="46"/>
      <c r="BP26" s="1" t="b">
        <v>0</v>
      </c>
      <c r="BQ26" s="44"/>
      <c r="BR26" s="1" t="b">
        <v>0</v>
      </c>
      <c r="BS26" s="37"/>
      <c r="BT26" s="4">
        <v>2</v>
      </c>
      <c r="BU26" s="46"/>
      <c r="BV26" s="1" t="b">
        <v>0</v>
      </c>
      <c r="BW26" s="44"/>
      <c r="BX26" s="1" t="b">
        <v>0</v>
      </c>
      <c r="BY26" s="37"/>
      <c r="BZ26" s="4">
        <v>2</v>
      </c>
      <c r="CA26" s="46"/>
      <c r="CB26" s="1" t="b">
        <v>0</v>
      </c>
      <c r="CC26" s="44"/>
      <c r="CD26" s="1" t="b">
        <v>0</v>
      </c>
      <c r="CE26" s="37"/>
      <c r="CF26" s="1" t="b">
        <v>0</v>
      </c>
      <c r="CH26" s="14" t="s">
        <v>360</v>
      </c>
      <c r="CI26" s="39" t="s">
        <v>196</v>
      </c>
      <c r="CJ26" s="46" t="s">
        <v>384</v>
      </c>
      <c r="CK26" s="44" t="s">
        <v>446</v>
      </c>
      <c r="CL26" s="15"/>
      <c r="CM26" s="44" t="s">
        <v>362</v>
      </c>
      <c r="CP26" s="15" t="s">
        <v>136</v>
      </c>
      <c r="CQ26" s="39" t="s">
        <v>90</v>
      </c>
      <c r="CR26" s="15" t="s">
        <v>108</v>
      </c>
      <c r="CS26" s="39" t="s">
        <v>92</v>
      </c>
      <c r="CT26" s="15" t="s">
        <v>404</v>
      </c>
      <c r="DP26" s="37"/>
      <c r="DQ26" s="48" t="str">
        <f ca="1">A2</f>
        <v>8_22 Skyscraper_1</v>
      </c>
      <c r="DR26" s="4">
        <v>4</v>
      </c>
      <c r="DS26" s="1" t="str">
        <v>Attack</v>
      </c>
      <c r="DT26" s="1" t="str">
        <f t="shared" si="14"/>
        <v>Chos3n</v>
      </c>
      <c r="DU26" s="1" t="str">
        <v>Ace</v>
      </c>
      <c r="DV26" s="21" t="b" cm="1">
        <f t="array" ref="DV26">ConvertToRoundTime(secandmin(AK10),secandmin(CJ28),AL10)</f>
        <v>0</v>
      </c>
      <c r="DW26" s="1" t="b">
        <v>0</v>
      </c>
      <c r="DX26" s="1" t="str" cm="1">
        <f t="array" ref="DX26">DeathRefragged(DV26,MAX(ES10,ES26,ES42,ES58,ES74,FA91),MAX(EZ10,EZ26,EZ42,EZ58,EZ74,FI91),MAX(FG10,FG26,FG42,FG58,FG74,FP91),MAX(FN10,FN26,FN42,FN58,FN74,FW91),MAX(FU10,FU26,FU42,FU58,FU74,GD91),$Q$2)</f>
        <v>N/A</v>
      </c>
      <c r="DY26" s="1" t="str" cm="1">
        <f t="array" ref="DY26">DeathTraded(DV26,DW26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26" s="1" t="b">
        <v>0</v>
      </c>
      <c r="EA26" s="1" t="str">
        <v>NOLOC</v>
      </c>
      <c r="EB26" s="1" t="b" cm="1">
        <f t="array" ref="EB26">OpeningDeath(MAX(ES10,ES26,ES42,ES58,ES74),DV26,DV10,DV42,DV58,DV74)</f>
        <v>0</v>
      </c>
      <c r="EC26" s="1" t="b" cm="1">
        <f t="array" ref="EC26">EntryDeath(DV26,DV10,DV42,DV58,DV74)</f>
        <v>0</v>
      </c>
      <c r="ED26" s="4">
        <v>4</v>
      </c>
      <c r="EE26" s="1">
        <f t="shared" si="12"/>
        <v>0</v>
      </c>
      <c r="EF26" s="1">
        <f t="shared" si="15"/>
        <v>0</v>
      </c>
      <c r="EG26" s="1">
        <f t="shared" si="16"/>
        <v>0</v>
      </c>
      <c r="EH26" s="1" cm="1">
        <f t="array" ref="EH26">ExitFrag(EN26,MAX(DV10,DV42,DV58,DV74),MAX(ES10,ES26,ES42,ES58,ES74,FA91),MAX(EZ10,EZ26,EZ42,EZ58,EZ74,FI91),MAX(FG10,FG26,FG42,FG58,FG74,FP91),MAX(FN10,FN26,FN42,FN58,FN74,FW91),MAX(FU10,FU26,FU42,FU58,FU74,GD91))</f>
        <v>0</v>
      </c>
      <c r="EI26" s="1" t="b" cm="1">
        <f t="array" ref="EI26">OpeningKill(ES26,ES10,ES42,ES58,ES74,FB91,DV10,DV26,DV42,DV58,DV74)</f>
        <v>0</v>
      </c>
      <c r="EJ26" s="1" t="b">
        <f t="shared" si="17"/>
        <v>0</v>
      </c>
      <c r="EK26" s="4">
        <v>4</v>
      </c>
      <c r="EL26" s="1" t="b">
        <v>0</v>
      </c>
      <c r="EM26" s="1" t="b" cm="1">
        <f t="array" ref="EM26">IF(NOT(ISBLANK(CP28)),KOST(EE26,DY26,DV26,EL26),"NOT PLAYED")</f>
        <v>1</v>
      </c>
      <c r="EN26" s="1" t="b" cm="1">
        <f t="array" ref="EN26">OneVX(DV42,DV58,DV74,DV10,DV26)</f>
        <v>0</v>
      </c>
      <c r="EO26" s="1" t="b">
        <f t="shared" si="18"/>
        <v>0</v>
      </c>
      <c r="EP26" s="1" t="str" cm="1">
        <f t="array" ref="EP26:EU26">DetermineKill(ConvertToRoundTime(secandmin(BS10),secandmin(CJ28),BT10),BR10,BV10,BW10,BU10,BY10,BX10,$O$3)</f>
        <v>NOLOC</v>
      </c>
      <c r="EQ26" s="1" t="b">
        <v>0</v>
      </c>
      <c r="ER26" s="1" t="b">
        <v>0</v>
      </c>
      <c r="ES26" s="1" t="b">
        <v>0</v>
      </c>
      <c r="ET26" s="1" t="b">
        <v>0</v>
      </c>
      <c r="EU26" s="1" t="b">
        <v>0</v>
      </c>
      <c r="EV26" s="1" t="str" cm="1">
        <f t="array" ref="EV26">DeathTraded(ES26,$O$3,DV10,$O$2,DV26,$O$3,DV42,$O$4,DV58,$O$5,DV74,$O$6,$R$2)</f>
        <v>N/A</v>
      </c>
      <c r="EW26" s="1" t="str" cm="1">
        <f t="array" ref="EW26:FB26">DetermineKill(ConvertToRoundTime(secandmin(CB10),secandmin(CJ28),CC10),CA10,CE10,CF10,CD10,CH10,CG10,$O$3)</f>
        <v>NOLOC</v>
      </c>
      <c r="EX26" s="1" t="b">
        <v>0</v>
      </c>
      <c r="EY26" s="1" t="b">
        <v>0</v>
      </c>
      <c r="EZ26" s="1" t="b">
        <v>0</v>
      </c>
      <c r="FA26" s="1" t="b">
        <v>0</v>
      </c>
      <c r="FB26" s="1" t="b">
        <v>0</v>
      </c>
      <c r="FC26" s="1" t="str" cm="1">
        <f t="array" ref="FC26">DeathTraded(EZ26,$O$3,DV10,$O$2,DV26,$O$3,DV42,$O$4,DV58,$O$5,DV74,$O$6,$R$2)</f>
        <v>N/A</v>
      </c>
      <c r="FD26" s="1" t="str" cm="1">
        <f t="array" ref="FD26:FI26">DetermineKill(ConvertToRoundTime(secandmin(CK10),secandmin(CJ28),CL10),CJ10,CN10,CO10,CM10,CQ10,CP10,$O$3)</f>
        <v>NOLOC</v>
      </c>
      <c r="FE26" s="1" t="b">
        <v>0</v>
      </c>
      <c r="FF26" s="1" t="b">
        <v>0</v>
      </c>
      <c r="FG26" s="1" t="b">
        <v>0</v>
      </c>
      <c r="FH26" s="1" t="b">
        <v>0</v>
      </c>
      <c r="FI26" s="1" t="b">
        <v>0</v>
      </c>
      <c r="FJ26" s="1" t="str" cm="1">
        <f t="array" ref="FJ26">DeathTraded(FG26,$O$3,DV10,$O$2,DV26,$O$3,DV42,$O$4,DV58,$O$5,DV74,$O$6,$R$2)</f>
        <v>N/A</v>
      </c>
      <c r="FK26" s="1" t="str" cm="1">
        <f t="array" ref="FK26:FP26">DetermineKill(ConvertToRoundTime(secandmin(CT10),secandmin(CJ28),CU10),CS10,CW10,CX10,CV10,CZ10,CY10,$O$3)</f>
        <v>NOLOC</v>
      </c>
      <c r="FL26" s="1" t="b">
        <v>0</v>
      </c>
      <c r="FM26" s="1" t="b">
        <v>0</v>
      </c>
      <c r="FN26" s="1" t="b">
        <v>0</v>
      </c>
      <c r="FO26" s="1" t="b">
        <v>0</v>
      </c>
      <c r="FP26" s="1" t="b">
        <v>0</v>
      </c>
      <c r="FQ26" s="1" t="str" cm="1">
        <f t="array" ref="FQ26">DeathTraded(FN26,$O$3,DV10,$O$2,DV26,$O$3,DV42,$O$4,DV58,$O$5,DV74,$O$6,$R$2)</f>
        <v>N/A</v>
      </c>
      <c r="FR26" s="1" t="str" cm="1">
        <f t="array" ref="FR26:FW26">DetermineKill(ConvertToRoundTime(secandmin(DC10),secandmin(CJ28),DD10),DB10,DF10,DG10,DE10,DI10,DH10,$O$3)</f>
        <v>NOLOC</v>
      </c>
      <c r="FS26" s="1" t="b">
        <v>0</v>
      </c>
      <c r="FT26" s="1" t="b">
        <v>0</v>
      </c>
      <c r="FU26" s="1" t="b">
        <v>0</v>
      </c>
      <c r="FV26" s="1" t="b">
        <v>0</v>
      </c>
      <c r="FW26" s="1" t="b">
        <v>0</v>
      </c>
      <c r="FX26" s="1" t="str" cm="1">
        <f t="array" ref="FX26">DeathTraded(FU26,$O$3,DV10,$O$2,DV26,$O$3,DV42,$O$4,DV58,$O$5,DV74,$O$6,$R$2)</f>
        <v>N/A</v>
      </c>
      <c r="FY26" s="4">
        <v>4</v>
      </c>
      <c r="FZ26" s="1">
        <f t="shared" si="19"/>
        <v>0</v>
      </c>
      <c r="GA26" s="21">
        <f t="shared" si="20"/>
        <v>0</v>
      </c>
      <c r="GB26" s="1" t="str">
        <f t="shared" si="13"/>
        <v>NODATA</v>
      </c>
      <c r="GC26" s="13" t="str">
        <f t="shared" si="21"/>
        <v>NODATA</v>
      </c>
      <c r="GD26" s="1" t="str">
        <f t="shared" ref="GD26:GD37" si="23">IF($T$2=TRUE,IF(AND(ISBLANK(AE28),CH28="Attack"),FALSE,IF(NOT(CH28="Attack"),"",AE28)),"NODATA")</f>
        <v>NODATA</v>
      </c>
      <c r="GE26" s="1" t="str">
        <f t="shared" si="22"/>
        <v>NODATA</v>
      </c>
      <c r="GF26" s="1" t="b" cm="1">
        <f t="array" ref="GF26">IF($V$2=TRUE,IF(CH28="Attack",ConvertToRoundTime(secandmin(BI28),secandmin(CJ28),BJ28),""),"NO DATA")</f>
        <v>0</v>
      </c>
      <c r="GG26" s="1" t="b" cm="1">
        <f t="array" ref="GG26">IF($V$2=TRUE,IF(CH28="Attack",ConvertToRoundTime(secandmin(BQ28),secandmin(CJ28),BR28),""),"NO DATA")</f>
        <v>0</v>
      </c>
    </row>
    <row r="27" spans="27:189" x14ac:dyDescent="0.25">
      <c r="AB27" s="5">
        <v>3</v>
      </c>
      <c r="AC27" s="14">
        <v>1</v>
      </c>
      <c r="AD27" s="38"/>
      <c r="AE27" s="14"/>
      <c r="AF27" s="38"/>
      <c r="AG27" s="14"/>
      <c r="AH27" s="38"/>
      <c r="AI27" s="14"/>
      <c r="AJ27" s="38"/>
      <c r="AK27" s="14"/>
      <c r="AL27" s="38"/>
      <c r="AM27" s="14"/>
      <c r="AN27" s="38"/>
      <c r="AO27" s="14"/>
      <c r="AP27" s="38"/>
      <c r="AQ27" s="14"/>
      <c r="AR27" s="38"/>
      <c r="AS27" s="14"/>
      <c r="AT27" s="38"/>
      <c r="AV27" s="5">
        <v>3</v>
      </c>
      <c r="AW27" s="14"/>
      <c r="AX27" s="38"/>
      <c r="AY27" s="14"/>
      <c r="AZ27" s="38"/>
      <c r="BA27" s="14"/>
      <c r="BB27" s="5">
        <v>3</v>
      </c>
      <c r="BC27" s="45"/>
      <c r="BD27" s="1" t="b">
        <v>0</v>
      </c>
      <c r="BE27" s="43"/>
      <c r="BF27" s="1" t="b">
        <v>0</v>
      </c>
      <c r="BG27" s="37"/>
      <c r="BH27" s="5">
        <v>3</v>
      </c>
      <c r="BI27" s="45"/>
      <c r="BJ27" s="1" t="b">
        <v>0</v>
      </c>
      <c r="BK27" s="43"/>
      <c r="BL27" s="1" t="b">
        <v>0</v>
      </c>
      <c r="BM27" s="37"/>
      <c r="BN27" s="5">
        <v>3</v>
      </c>
      <c r="BO27" s="45"/>
      <c r="BP27" s="1" t="b">
        <v>0</v>
      </c>
      <c r="BQ27" s="43"/>
      <c r="BR27" s="1" t="b">
        <v>0</v>
      </c>
      <c r="BS27" s="37"/>
      <c r="BT27" s="5">
        <v>3</v>
      </c>
      <c r="BU27" s="45"/>
      <c r="BV27" s="1" t="b">
        <v>0</v>
      </c>
      <c r="BW27" s="43"/>
      <c r="BX27" s="1" t="b">
        <v>0</v>
      </c>
      <c r="BY27" s="37"/>
      <c r="BZ27" s="5">
        <v>3</v>
      </c>
      <c r="CA27" s="45"/>
      <c r="CB27" s="1" t="b">
        <v>0</v>
      </c>
      <c r="CC27" s="43"/>
      <c r="CD27" s="1" t="b">
        <v>0</v>
      </c>
      <c r="CE27" s="37"/>
      <c r="CF27" s="1" t="b">
        <v>0</v>
      </c>
      <c r="CH27" s="14" t="s">
        <v>360</v>
      </c>
      <c r="CI27" s="38" t="s">
        <v>198</v>
      </c>
      <c r="CJ27" s="45"/>
      <c r="CK27" s="43" t="s">
        <v>434</v>
      </c>
      <c r="CL27" s="14"/>
      <c r="CM27" s="43" t="s">
        <v>361</v>
      </c>
      <c r="CP27" s="14" t="s">
        <v>112</v>
      </c>
      <c r="CQ27" s="38" t="s">
        <v>458</v>
      </c>
      <c r="CR27" s="14" t="s">
        <v>108</v>
      </c>
      <c r="CS27" s="38" t="s">
        <v>92</v>
      </c>
      <c r="CT27" s="14" t="s">
        <v>90</v>
      </c>
      <c r="DP27" s="37"/>
      <c r="DQ27" s="48" t="str">
        <f ca="1">A2</f>
        <v>8_22 Skyscraper_1</v>
      </c>
      <c r="DR27" s="5">
        <v>5</v>
      </c>
      <c r="DS27" s="1" t="str">
        <v>Attack</v>
      </c>
      <c r="DT27" s="1" t="str">
        <f t="shared" si="14"/>
        <v>Chos3n</v>
      </c>
      <c r="DU27" s="1" t="str">
        <v>Ace</v>
      </c>
      <c r="DV27" s="21" cm="1">
        <f t="array" ref="DV27">ConvertToRoundTime(secandmin(AK11),secandmin(CJ29),AL11)</f>
        <v>120</v>
      </c>
      <c r="DW27" s="1" t="str">
        <v>Snipey</v>
      </c>
      <c r="DX27" s="1" t="b" cm="1">
        <f t="array" ref="DX27">DeathRefragged(DV27,MAX(ES11,ES27,ES43,ES59,ES75,FA92),MAX(EZ11,EZ27,EZ43,EZ59,EZ75,FI92),MAX(FG11,FG27,FG43,FG59,FG75,FP92),MAX(FN11,FN27,FN43,FN59,FN75,FW92),MAX(FU11,FU27,FU43,FU59,FU75,GD92),$Q$2)</f>
        <v>0</v>
      </c>
      <c r="DY27" s="1" t="b" cm="1">
        <f t="array" ref="DY27">DeathTraded(DV27,DW27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0</v>
      </c>
      <c r="DZ27" s="1" t="b">
        <v>0</v>
      </c>
      <c r="EA27" s="1" t="str">
        <v>NOLOC</v>
      </c>
      <c r="EB27" s="1" t="b" cm="1">
        <f t="array" ref="EB27">OpeningDeath(MAX(ES11,ES27,ES43,ES59,ES75),DV27,DV11,DV43,DV59,DV75)</f>
        <v>0</v>
      </c>
      <c r="EC27" s="1" t="b" cm="1">
        <f t="array" ref="EC27">EntryDeath(DV27,DV11,DV43,DV59,DV75)</f>
        <v>0</v>
      </c>
      <c r="ED27" s="5">
        <v>5</v>
      </c>
      <c r="EE27" s="1">
        <f t="shared" si="12"/>
        <v>0</v>
      </c>
      <c r="EF27" s="1">
        <f t="shared" si="15"/>
        <v>0</v>
      </c>
      <c r="EG27" s="1">
        <f t="shared" si="16"/>
        <v>0</v>
      </c>
      <c r="EH27" s="1" cm="1">
        <f t="array" ref="EH27">ExitFrag(EN27,MAX(DV11,DV43,DV59,DV75),MAX(ES11,ES27,ES43,ES59,ES75,FA92),MAX(EZ11,EZ27,EZ43,EZ59,EZ75,FI92),MAX(FG11,FG27,FG43,FG59,FG75,FP92),MAX(FN11,FN27,FN43,FN59,FN75,FW92),MAX(FU11,FU27,FU43,FU59,FU75,GD92))</f>
        <v>0</v>
      </c>
      <c r="EI27" s="1" t="b" cm="1">
        <f t="array" ref="EI27">OpeningKill(ES27,ES11,ES43,ES59,ES75,FB92,DV11,DV27,DV43,DV59,DV75)</f>
        <v>0</v>
      </c>
      <c r="EJ27" s="1" t="b">
        <f t="shared" si="17"/>
        <v>0</v>
      </c>
      <c r="EK27" s="5">
        <v>5</v>
      </c>
      <c r="EL27" s="1" t="b">
        <v>0</v>
      </c>
      <c r="EM27" s="1" t="b" cm="1">
        <f t="array" ref="EM27">IF(NOT(ISBLANK(CP29)),KOST(EE27,DY27,DV27,EL27),"NOT PLAYED")</f>
        <v>0</v>
      </c>
      <c r="EN27" s="1" t="b" cm="1">
        <f t="array" ref="EN27">OneVX(DV43,DV59,DV75,DV11,DV27)</f>
        <v>0</v>
      </c>
      <c r="EO27" s="1" t="b">
        <f t="shared" si="18"/>
        <v>0</v>
      </c>
      <c r="EP27" s="1" t="str" cm="1">
        <f t="array" ref="EP27:EU27">DetermineKill(ConvertToRoundTime(secandmin(BS11),secandmin(CJ29),BT11),BR11,BV11,BW11,BU11,BY11,BX11,$O$3)</f>
        <v>NOLOC</v>
      </c>
      <c r="EQ27" s="1" t="b">
        <v>0</v>
      </c>
      <c r="ER27" s="1" t="b">
        <v>0</v>
      </c>
      <c r="ES27" s="1" t="b">
        <v>0</v>
      </c>
      <c r="ET27" s="1" t="b">
        <v>0</v>
      </c>
      <c r="EU27" s="1" t="b">
        <v>0</v>
      </c>
      <c r="EV27" s="1" t="str" cm="1">
        <f t="array" ref="EV27">DeathTraded(ES27,$O$3,DV11,$O$2,DV27,$O$3,DV43,$O$4,DV59,$O$5,DV75,$O$6,$R$2)</f>
        <v>N/A</v>
      </c>
      <c r="EW27" s="1" t="str" cm="1">
        <f t="array" ref="EW27:FB27">DetermineKill(ConvertToRoundTime(secandmin(CB11),secandmin(CJ29),CC11),CA11,CE11,CF11,CD11,CH11,CG11,$O$3)</f>
        <v>NOLOC</v>
      </c>
      <c r="EX27" s="1" t="b">
        <v>0</v>
      </c>
      <c r="EY27" s="1" t="b">
        <v>0</v>
      </c>
      <c r="EZ27" s="1" t="b">
        <v>0</v>
      </c>
      <c r="FA27" s="1" t="b">
        <v>0</v>
      </c>
      <c r="FB27" s="1" t="b">
        <v>0</v>
      </c>
      <c r="FC27" s="1" t="str" cm="1">
        <f t="array" ref="FC27">DeathTraded(EZ27,$O$3,DV11,$O$2,DV27,$O$3,DV43,$O$4,DV59,$O$5,DV75,$O$6,$R$2)</f>
        <v>N/A</v>
      </c>
      <c r="FD27" s="1" t="str" cm="1">
        <f t="array" ref="FD27:FI27">DetermineKill(ConvertToRoundTime(secandmin(CK11),secandmin(CJ29),CL11),CJ11,CN11,CO11,CM11,CQ11,CP11,$O$3)</f>
        <v>NOLOC</v>
      </c>
      <c r="FE27" s="1" t="b">
        <v>0</v>
      </c>
      <c r="FF27" s="1" t="b">
        <v>0</v>
      </c>
      <c r="FG27" s="1" t="b">
        <v>0</v>
      </c>
      <c r="FH27" s="1" t="b">
        <v>0</v>
      </c>
      <c r="FI27" s="1" t="b">
        <v>0</v>
      </c>
      <c r="FJ27" s="1" t="str" cm="1">
        <f t="array" ref="FJ27">DeathTraded(FG27,$O$3,DV11,$O$2,DV27,$O$3,DV43,$O$4,DV59,$O$5,DV75,$O$6,$R$2)</f>
        <v>N/A</v>
      </c>
      <c r="FK27" s="1" t="str" cm="1">
        <f t="array" ref="FK27:FP27">DetermineKill(ConvertToRoundTime(secandmin(CT11),secandmin(CJ29),CU11),CS11,CW11,CX11,CV11,CZ11,CY11,$O$3)</f>
        <v>NOLOC</v>
      </c>
      <c r="FL27" s="1" t="b">
        <v>0</v>
      </c>
      <c r="FM27" s="1" t="b">
        <v>0</v>
      </c>
      <c r="FN27" s="1" t="b">
        <v>0</v>
      </c>
      <c r="FO27" s="1" t="b">
        <v>0</v>
      </c>
      <c r="FP27" s="1" t="b">
        <v>0</v>
      </c>
      <c r="FQ27" s="1" t="str" cm="1">
        <f t="array" ref="FQ27">DeathTraded(FN27,$O$3,DV11,$O$2,DV27,$O$3,DV43,$O$4,DV59,$O$5,DV75,$O$6,$R$2)</f>
        <v>N/A</v>
      </c>
      <c r="FR27" s="1" t="str" cm="1">
        <f t="array" ref="FR27:FW27">DetermineKill(ConvertToRoundTime(secandmin(DC11),secandmin(CJ29),DD11),DB11,DF11,DG11,DE11,DI11,DH11,$O$3)</f>
        <v>NOLOC</v>
      </c>
      <c r="FS27" s="1" t="b">
        <v>0</v>
      </c>
      <c r="FT27" s="1" t="b">
        <v>0</v>
      </c>
      <c r="FU27" s="1" t="b">
        <v>0</v>
      </c>
      <c r="FV27" s="1" t="b">
        <v>0</v>
      </c>
      <c r="FW27" s="1" t="b">
        <v>0</v>
      </c>
      <c r="FX27" s="1" t="str" cm="1">
        <f t="array" ref="FX27">DeathTraded(FU27,$O$3,DV11,$O$2,DV27,$O$3,DV43,$O$4,DV59,$O$5,DV75,$O$6,$R$2)</f>
        <v>N/A</v>
      </c>
      <c r="FY27" s="5">
        <v>5</v>
      </c>
      <c r="FZ27" s="1">
        <f t="shared" si="19"/>
        <v>0</v>
      </c>
      <c r="GA27" s="21">
        <f t="shared" si="20"/>
        <v>0</v>
      </c>
      <c r="GB27" s="1" t="str">
        <f t="shared" si="13"/>
        <v>NODATA</v>
      </c>
      <c r="GC27" s="13" t="str">
        <f t="shared" si="21"/>
        <v>NODATA</v>
      </c>
      <c r="GD27" s="1" t="str">
        <f t="shared" si="23"/>
        <v>NODATA</v>
      </c>
      <c r="GE27" s="1" t="str">
        <f t="shared" si="22"/>
        <v>NODATA</v>
      </c>
      <c r="GF27" s="1" t="b" cm="1">
        <f t="array" ref="GF27">IF($V$2=TRUE,IF(CH29="Attack",ConvertToRoundTime(secandmin(BI29),secandmin(CJ29),BJ29),""),"NO DATA")</f>
        <v>0</v>
      </c>
      <c r="GG27" s="1" t="b" cm="1">
        <f t="array" ref="GG27">IF($V$2=TRUE,IF(CH29="Attack",ConvertToRoundTime(secandmin(BQ29),secandmin(CJ29),BR29),""),"NO DATA")</f>
        <v>0</v>
      </c>
    </row>
    <row r="28" spans="27:189" x14ac:dyDescent="0.25">
      <c r="AB28" s="4">
        <v>4</v>
      </c>
      <c r="AC28" s="15">
        <v>0</v>
      </c>
      <c r="AD28" s="39"/>
      <c r="AE28" s="15"/>
      <c r="AF28" s="39"/>
      <c r="AG28" s="15"/>
      <c r="AH28" s="39"/>
      <c r="AI28" s="15"/>
      <c r="AJ28" s="39"/>
      <c r="AK28" s="15"/>
      <c r="AL28" s="39"/>
      <c r="AM28" s="15"/>
      <c r="AN28" s="39"/>
      <c r="AO28" s="15"/>
      <c r="AP28" s="39"/>
      <c r="AQ28" s="15"/>
      <c r="AR28" s="39"/>
      <c r="AS28" s="15"/>
      <c r="AT28" s="39"/>
      <c r="AV28" s="4">
        <v>4</v>
      </c>
      <c r="AW28" s="15"/>
      <c r="AX28" s="39"/>
      <c r="AY28" s="15"/>
      <c r="AZ28" s="39"/>
      <c r="BA28" s="15"/>
      <c r="BB28" s="4">
        <v>4</v>
      </c>
      <c r="BC28" s="46"/>
      <c r="BD28" s="1" t="b">
        <v>0</v>
      </c>
      <c r="BE28" s="44"/>
      <c r="BF28" s="1" t="b">
        <v>0</v>
      </c>
      <c r="BG28" s="37"/>
      <c r="BH28" s="4">
        <v>4</v>
      </c>
      <c r="BI28" s="46"/>
      <c r="BJ28" s="1" t="b">
        <v>0</v>
      </c>
      <c r="BK28" s="44"/>
      <c r="BL28" s="1" t="b">
        <v>0</v>
      </c>
      <c r="BM28" s="37"/>
      <c r="BN28" s="4">
        <v>4</v>
      </c>
      <c r="BO28" s="46"/>
      <c r="BP28" s="1" t="b">
        <v>0</v>
      </c>
      <c r="BQ28" s="44"/>
      <c r="BR28" s="1" t="b">
        <v>0</v>
      </c>
      <c r="BS28" s="37"/>
      <c r="BT28" s="4">
        <v>4</v>
      </c>
      <c r="BU28" s="46"/>
      <c r="BV28" s="1" t="b">
        <v>0</v>
      </c>
      <c r="BW28" s="44"/>
      <c r="BX28" s="1" t="b">
        <v>0</v>
      </c>
      <c r="BY28" s="37"/>
      <c r="BZ28" s="4">
        <v>4</v>
      </c>
      <c r="CA28" s="46"/>
      <c r="CB28" s="1" t="b">
        <v>0</v>
      </c>
      <c r="CC28" s="44"/>
      <c r="CD28" s="1" t="b">
        <v>0</v>
      </c>
      <c r="CE28" s="37"/>
      <c r="CF28" s="1" t="b">
        <v>0</v>
      </c>
      <c r="CH28" s="14" t="s">
        <v>360</v>
      </c>
      <c r="CI28" s="39" t="s">
        <v>197</v>
      </c>
      <c r="CJ28" s="46"/>
      <c r="CK28" s="44" t="s">
        <v>401</v>
      </c>
      <c r="CL28" s="15"/>
      <c r="CM28" s="44" t="s">
        <v>362</v>
      </c>
      <c r="CP28" s="15" t="s">
        <v>136</v>
      </c>
      <c r="CQ28" s="39" t="s">
        <v>90</v>
      </c>
      <c r="CR28" s="15" t="s">
        <v>108</v>
      </c>
      <c r="CS28" s="39" t="s">
        <v>92</v>
      </c>
      <c r="CT28" s="15" t="s">
        <v>404</v>
      </c>
      <c r="DP28" s="37"/>
      <c r="DQ28" s="48" t="str">
        <f ca="1">A2</f>
        <v>8_22 Skyscraper_1</v>
      </c>
      <c r="DR28" s="4">
        <v>6</v>
      </c>
      <c r="DS28" s="1" t="str">
        <v>Attack</v>
      </c>
      <c r="DT28" s="1" t="str">
        <f t="shared" si="14"/>
        <v>Chos3n</v>
      </c>
      <c r="DU28" s="1" t="str">
        <v>Ace</v>
      </c>
      <c r="DV28" s="21" t="b" cm="1">
        <f t="array" ref="DV28">ConvertToRoundTime(secandmin(AK12),secandmin(CJ30),AL12)</f>
        <v>0</v>
      </c>
      <c r="DW28" s="1" t="b">
        <v>0</v>
      </c>
      <c r="DX28" s="1" t="str" cm="1">
        <f t="array" ref="DX28">DeathRefragged(DV28,MAX(ES12,ES28,ES44,ES60,ES76,FA93),MAX(EZ12,EZ28,EZ44,EZ60,EZ76,FI93),MAX(FG12,FG28,FG44,FG60,FG76,FP93),MAX(FN12,FN28,FN44,FN60,FN76,FW93),MAX(FU12,FU28,FU44,FU60,FU76,GD93),$Q$2)</f>
        <v>N/A</v>
      </c>
      <c r="DY28" s="1" t="str" cm="1">
        <f t="array" ref="DY28">DeathTraded(DV28,DW28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N/A</v>
      </c>
      <c r="DZ28" s="1" t="b">
        <v>0</v>
      </c>
      <c r="EA28" s="1" t="str">
        <v>NOLOC</v>
      </c>
      <c r="EB28" s="1" t="b" cm="1">
        <f t="array" ref="EB28">OpeningDeath(MAX(ES12,ES28,ES44,ES60,ES76),DV28,DV12,DV44,DV60,DV76)</f>
        <v>0</v>
      </c>
      <c r="EC28" s="1" t="b" cm="1">
        <f t="array" ref="EC28">EntryDeath(DV28,DV12,DV44,DV60,DV76)</f>
        <v>0</v>
      </c>
      <c r="ED28" s="4">
        <v>6</v>
      </c>
      <c r="EE28" s="1">
        <f t="shared" si="12"/>
        <v>1</v>
      </c>
      <c r="EF28" s="1">
        <f t="shared" si="15"/>
        <v>1</v>
      </c>
      <c r="EG28" s="1">
        <f t="shared" si="16"/>
        <v>0</v>
      </c>
      <c r="EH28" s="1" cm="1">
        <f t="array" ref="EH28">ExitFrag(EN28,MAX(DV12,DV44,DV60,DV76),MAX(ES12,ES28,ES44,ES60,ES76,FA93),MAX(EZ12,EZ28,EZ44,EZ60,EZ76,FI93),MAX(FG12,FG28,FG44,FG60,FG76,FP93),MAX(FN12,FN28,FN44,FN60,FN76,FW93),MAX(FU12,FU28,FU44,FU60,FU76,GD93))</f>
        <v>0</v>
      </c>
      <c r="EI28" s="1" t="b" cm="1">
        <f t="array" ref="EI28">OpeningKill(ES28,ES12,ES44,ES60,ES76,FB93,DV12,DV28,DV44,DV60,DV76)</f>
        <v>1</v>
      </c>
      <c r="EJ28" s="1" t="b">
        <f t="shared" si="17"/>
        <v>1</v>
      </c>
      <c r="EK28" s="4">
        <v>6</v>
      </c>
      <c r="EL28" s="1" t="b">
        <v>0</v>
      </c>
      <c r="EM28" s="1" t="b" cm="1">
        <f t="array" ref="EM28">IF(NOT(ISBLANK(CP30)),KOST(EE28,DY28,DV28,EL28),"NOT PLAYED")</f>
        <v>1</v>
      </c>
      <c r="EN28" s="1" t="b" cm="1">
        <f t="array" ref="EN28">OneVX(DV44,DV60,DV76,DV12,DV28)</f>
        <v>1</v>
      </c>
      <c r="EO28" s="1" t="b">
        <f t="shared" si="18"/>
        <v>0</v>
      </c>
      <c r="EP28" s="1" t="str" cm="1">
        <f t="array" ref="EP28:EU28">DetermineKill(ConvertToRoundTime(secandmin(BS12),secandmin(CJ30),BT12),BR12,BV12,BW12,BU12,BY12,BX12,$O$3)</f>
        <v>UNKNOWN</v>
      </c>
      <c r="EQ28" s="1" t="b">
        <v>0</v>
      </c>
      <c r="ER28" s="1" t="str">
        <v>Rival</v>
      </c>
      <c r="ES28" s="1">
        <v>77</v>
      </c>
      <c r="ET28" s="1" t="b">
        <v>0</v>
      </c>
      <c r="EU28" s="1" t="b">
        <v>1</v>
      </c>
      <c r="EV28" s="1" t="b" cm="1">
        <f t="array" ref="EV28">DeathTraded(ES28,$O$3,DV12,$O$2,DV28,$O$3,DV44,$O$4,DV60,$O$5,DV76,$O$6,$R$2)</f>
        <v>0</v>
      </c>
      <c r="EW28" s="1" t="str" cm="1">
        <f t="array" ref="EW28:FB28">DetermineKill(ConvertToRoundTime(secandmin(CB12),secandmin(CJ30),CC12),CA12,CE12,CF12,CD12,CH12,CG12,$O$3)</f>
        <v>NOLOC</v>
      </c>
      <c r="EX28" s="1" t="b">
        <v>0</v>
      </c>
      <c r="EY28" s="1" t="b">
        <v>0</v>
      </c>
      <c r="EZ28" s="1" t="b">
        <v>0</v>
      </c>
      <c r="FA28" s="1" t="b">
        <v>0</v>
      </c>
      <c r="FB28" s="1" t="b">
        <v>0</v>
      </c>
      <c r="FC28" s="1" t="str" cm="1">
        <f t="array" ref="FC28">DeathTraded(EZ28,$O$3,DV12,$O$2,DV28,$O$3,DV44,$O$4,DV60,$O$5,DV76,$O$6,$R$2)</f>
        <v>N/A</v>
      </c>
      <c r="FD28" s="1" t="str" cm="1">
        <f t="array" ref="FD28:FI28">DetermineKill(ConvertToRoundTime(secandmin(CK12),secandmin(CJ30),CL12),CJ12,CN12,CO12,CM12,CQ12,CP12,$O$3)</f>
        <v>NOLOC</v>
      </c>
      <c r="FE28" s="1" t="b">
        <v>0</v>
      </c>
      <c r="FF28" s="1" t="b">
        <v>0</v>
      </c>
      <c r="FG28" s="1" t="b">
        <v>0</v>
      </c>
      <c r="FH28" s="1" t="b">
        <v>0</v>
      </c>
      <c r="FI28" s="1" t="b">
        <v>0</v>
      </c>
      <c r="FJ28" s="1" t="str" cm="1">
        <f t="array" ref="FJ28">DeathTraded(FG28,$O$3,DV12,$O$2,DV28,$O$3,DV44,$O$4,DV60,$O$5,DV76,$O$6,$R$2)</f>
        <v>N/A</v>
      </c>
      <c r="FK28" s="1" t="str" cm="1">
        <f t="array" ref="FK28:FP28">DetermineKill(ConvertToRoundTime(secandmin(CT12),secandmin(CJ30),CU12),CS12,CW12,CX12,CV12,CZ12,CY12,$O$3)</f>
        <v>NOLOC</v>
      </c>
      <c r="FL28" s="1" t="b">
        <v>0</v>
      </c>
      <c r="FM28" s="1" t="b">
        <v>0</v>
      </c>
      <c r="FN28" s="1" t="b">
        <v>0</v>
      </c>
      <c r="FO28" s="1" t="b">
        <v>0</v>
      </c>
      <c r="FP28" s="1" t="b">
        <v>0</v>
      </c>
      <c r="FQ28" s="1" t="str" cm="1">
        <f t="array" ref="FQ28">DeathTraded(FN28,$O$3,DV12,$O$2,DV28,$O$3,DV44,$O$4,DV60,$O$5,DV76,$O$6,$R$2)</f>
        <v>N/A</v>
      </c>
      <c r="FR28" s="1" t="str" cm="1">
        <f t="array" ref="FR28:FW28">DetermineKill(ConvertToRoundTime(secandmin(DC12),secandmin(CJ30),DD12),DB12,DF12,DG12,DE12,DI12,DH12,$O$3)</f>
        <v>NOLOC</v>
      </c>
      <c r="FS28" s="1" t="b">
        <v>0</v>
      </c>
      <c r="FT28" s="1" t="b">
        <v>0</v>
      </c>
      <c r="FU28" s="1" t="b">
        <v>0</v>
      </c>
      <c r="FV28" s="1" t="b">
        <v>0</v>
      </c>
      <c r="FW28" s="1" t="b">
        <v>0</v>
      </c>
      <c r="FX28" s="1" t="str" cm="1">
        <f t="array" ref="FX28">DeathTraded(FU28,$O$3,DV12,$O$2,DV28,$O$3,DV44,$O$4,DV60,$O$5,DV76,$O$6,$R$2)</f>
        <v>N/A</v>
      </c>
      <c r="FY28" s="4">
        <v>6</v>
      </c>
      <c r="FZ28" s="1">
        <f t="shared" si="19"/>
        <v>0</v>
      </c>
      <c r="GA28" s="21">
        <f t="shared" si="20"/>
        <v>0</v>
      </c>
      <c r="GB28" s="1" t="str">
        <f t="shared" si="13"/>
        <v>NODATA</v>
      </c>
      <c r="GC28" s="13" t="str">
        <f t="shared" si="21"/>
        <v>NODATA</v>
      </c>
      <c r="GD28" s="1" t="str">
        <f t="shared" si="23"/>
        <v>NODATA</v>
      </c>
      <c r="GE28" s="1" t="str">
        <f t="shared" si="22"/>
        <v>NODATA</v>
      </c>
      <c r="GF28" s="1" t="b" cm="1">
        <f t="array" ref="GF28">IF($V$2=TRUE,IF(CH30="Attack",ConvertToRoundTime(secandmin(BI30),secandmin(CJ30),BJ30),""),"NO DATA")</f>
        <v>0</v>
      </c>
      <c r="GG28" s="1" t="b" cm="1">
        <f t="array" ref="GG28">IF($V$2=TRUE,IF(CH30="Attack",ConvertToRoundTime(secandmin(BQ30),secandmin(CJ30),BR30),""),"NO DATA")</f>
        <v>0</v>
      </c>
    </row>
    <row r="29" spans="27:189" x14ac:dyDescent="0.25">
      <c r="AB29" s="5">
        <v>5</v>
      </c>
      <c r="AC29" s="14">
        <v>0</v>
      </c>
      <c r="AD29" s="38"/>
      <c r="AE29" s="14"/>
      <c r="AF29" s="38"/>
      <c r="AG29" s="14"/>
      <c r="AH29" s="38"/>
      <c r="AI29" s="14"/>
      <c r="AJ29" s="38"/>
      <c r="AK29" s="14"/>
      <c r="AL29" s="38"/>
      <c r="AM29" s="14"/>
      <c r="AN29" s="38"/>
      <c r="AO29" s="14"/>
      <c r="AP29" s="38"/>
      <c r="AQ29" s="14"/>
      <c r="AR29" s="38"/>
      <c r="AS29" s="14"/>
      <c r="AT29" s="38"/>
      <c r="AV29" s="5">
        <v>5</v>
      </c>
      <c r="AW29" s="14"/>
      <c r="AX29" s="38"/>
      <c r="AY29" s="14"/>
      <c r="AZ29" s="38"/>
      <c r="BA29" s="14"/>
      <c r="BB29" s="5">
        <v>5</v>
      </c>
      <c r="BC29" s="45"/>
      <c r="BD29" s="1" t="b">
        <v>0</v>
      </c>
      <c r="BE29" s="43"/>
      <c r="BF29" s="1" t="b">
        <v>0</v>
      </c>
      <c r="BG29" s="37"/>
      <c r="BH29" s="5">
        <v>5</v>
      </c>
      <c r="BI29" s="45"/>
      <c r="BJ29" s="1" t="b">
        <v>0</v>
      </c>
      <c r="BK29" s="43"/>
      <c r="BL29" s="1" t="b">
        <v>0</v>
      </c>
      <c r="BM29" s="37"/>
      <c r="BN29" s="5">
        <v>5</v>
      </c>
      <c r="BO29" s="45"/>
      <c r="BP29" s="1" t="b">
        <v>0</v>
      </c>
      <c r="BQ29" s="43"/>
      <c r="BR29" s="1" t="b">
        <v>0</v>
      </c>
      <c r="BS29" s="37"/>
      <c r="BT29" s="5">
        <v>5</v>
      </c>
      <c r="BU29" s="45"/>
      <c r="BV29" s="1" t="b">
        <v>0</v>
      </c>
      <c r="BW29" s="43"/>
      <c r="BX29" s="1" t="b">
        <v>0</v>
      </c>
      <c r="BY29" s="37"/>
      <c r="BZ29" s="5">
        <v>5</v>
      </c>
      <c r="CA29" s="45"/>
      <c r="CB29" s="1" t="b">
        <v>0</v>
      </c>
      <c r="CC29" s="43"/>
      <c r="CD29" s="1" t="b">
        <v>0</v>
      </c>
      <c r="CE29" s="37"/>
      <c r="CF29" s="1" t="b">
        <v>0</v>
      </c>
      <c r="CH29" s="14" t="s">
        <v>360</v>
      </c>
      <c r="CI29" s="38" t="s">
        <v>197</v>
      </c>
      <c r="CJ29" s="45"/>
      <c r="CK29" s="43" t="s">
        <v>457</v>
      </c>
      <c r="CL29" s="14"/>
      <c r="CM29" s="43" t="s">
        <v>361</v>
      </c>
      <c r="CP29" s="14" t="s">
        <v>136</v>
      </c>
      <c r="CQ29" s="38" t="s">
        <v>90</v>
      </c>
      <c r="CR29" s="14" t="s">
        <v>108</v>
      </c>
      <c r="CS29" s="38" t="s">
        <v>92</v>
      </c>
      <c r="CT29" s="14" t="s">
        <v>98</v>
      </c>
      <c r="DP29" s="37"/>
      <c r="DQ29" s="48" t="str">
        <f ca="1">A2</f>
        <v>8_22 Skyscraper_1</v>
      </c>
      <c r="DR29" s="5">
        <v>7</v>
      </c>
      <c r="DS29" s="1" t="str">
        <v>Defense</v>
      </c>
      <c r="DT29" s="1" t="str">
        <f t="shared" si="14"/>
        <v>Chos3n</v>
      </c>
      <c r="DU29" s="1" t="str">
        <v>Oryx</v>
      </c>
      <c r="DV29" s="21" cm="1">
        <f t="array" ref="DV29">ConvertToRoundTime(secandmin(AK13),secandmin(CJ31),AL13)</f>
        <v>149</v>
      </c>
      <c r="DW29" s="1" t="str">
        <v>Kiru</v>
      </c>
      <c r="DX29" s="1" t="b" cm="1">
        <f t="array" ref="DX29">DeathRefragged(DV29,MAX(ES13,ES29,ES45,ES61,ES77,FA94),MAX(EZ13,EZ29,EZ45,EZ61,EZ77,FI94),MAX(FG13,FG29,FG45,FG61,FG77,FP94),MAX(FN13,FN29,FN45,FN61,FN77,FW94),MAX(FU13,FU29,FU45,FU61,FU77,GD94),$Q$2)</f>
        <v>0</v>
      </c>
      <c r="DY29" s="1" t="b" cm="1">
        <f t="array" ref="DY29">DeathTraded(DV29,DW29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29" s="1" t="b">
        <v>0</v>
      </c>
      <c r="EA29" s="1" t="str">
        <v>NOLOC</v>
      </c>
      <c r="EB29" s="1" t="b" cm="1">
        <f t="array" ref="EB29">OpeningDeath(MAX(ES13,ES29,ES45,ES61,ES77),DV29,DV13,DV45,DV61,DV77)</f>
        <v>0</v>
      </c>
      <c r="EC29" s="1" t="b" cm="1">
        <f t="array" ref="EC29">EntryDeath(DV29,DV13,DV45,DV61,DV77)</f>
        <v>0</v>
      </c>
      <c r="ED29" s="5">
        <v>7</v>
      </c>
      <c r="EE29" s="1">
        <f t="shared" si="12"/>
        <v>3</v>
      </c>
      <c r="EF29" s="1">
        <f t="shared" si="15"/>
        <v>3</v>
      </c>
      <c r="EG29" s="1">
        <f t="shared" si="16"/>
        <v>0</v>
      </c>
      <c r="EH29" s="1" cm="1">
        <f t="array" ref="EH29">ExitFrag(EN29,MAX(DV13,DV45,DV61,DV77),MAX(ES13,ES29,ES45,ES61,ES77,FA94),MAX(EZ13,EZ29,EZ45,EZ61,EZ77,FI94),MAX(FG13,FG29,FG45,FG61,FG77,FP94),MAX(FN13,FN29,FN45,FN61,FN77,FW94),MAX(FU13,FU29,FU45,FU61,FU77,GD94))</f>
        <v>0</v>
      </c>
      <c r="EI29" s="1" t="b" cm="1">
        <f t="array" ref="EI29">OpeningKill(ES29,ES13,ES45,ES61,ES77,FB94,DV13,DV29,DV45,DV61,DV77)</f>
        <v>0</v>
      </c>
      <c r="EJ29" s="1" t="b">
        <f t="shared" si="17"/>
        <v>0</v>
      </c>
      <c r="EK29" s="5">
        <v>7</v>
      </c>
      <c r="EL29" s="1" t="b">
        <v>0</v>
      </c>
      <c r="EM29" s="1" t="b" cm="1">
        <f t="array" ref="EM29">IF(NOT(ISBLANK(CP31)),KOST(EE29,DY29,DV29,EL29),"NOT PLAYED")</f>
        <v>1</v>
      </c>
      <c r="EN29" s="1" t="b" cm="1">
        <f t="array" ref="EN29">OneVX(DV45,DV61,DV77,DV13,DV29)</f>
        <v>0</v>
      </c>
      <c r="EO29" s="1" t="b">
        <f t="shared" si="18"/>
        <v>0</v>
      </c>
      <c r="EP29" s="1" t="str" cm="1">
        <f t="array" ref="EP29:EU29">DetermineKill(ConvertToRoundTime(secandmin(BS13),secandmin(CJ31),BT13),BR13,BV13,BW13,BU13,BY13,BX13,$O$3)</f>
        <v>NOLOC</v>
      </c>
      <c r="EQ29" s="1" t="b">
        <v>0</v>
      </c>
      <c r="ER29" s="1" t="b">
        <v>0</v>
      </c>
      <c r="ES29" s="1" t="b">
        <v>0</v>
      </c>
      <c r="ET29" s="1" t="b">
        <v>0</v>
      </c>
      <c r="EU29" s="1" t="b">
        <v>0</v>
      </c>
      <c r="EV29" s="1" t="str" cm="1">
        <f t="array" ref="EV29">DeathTraded(ES29,$O$3,DV13,$O$2,DV29,$O$3,DV45,$O$4,DV61,$O$5,DV77,$O$6,$R$2)</f>
        <v>N/A</v>
      </c>
      <c r="EW29" s="1" t="str" cm="1">
        <f t="array" ref="EW29:FB29">DetermineKill(ConvertToRoundTime(secandmin(CB13),secandmin(CJ31),CC13),CA13,CE13,CF13,CD13,CH13,CG13,$O$3)</f>
        <v>UNKNOWN</v>
      </c>
      <c r="EX29" s="1" t="b">
        <v>0</v>
      </c>
      <c r="EY29" s="1" t="str">
        <v>Rival</v>
      </c>
      <c r="EZ29" s="1">
        <v>75</v>
      </c>
      <c r="FA29" s="1" t="b">
        <v>0</v>
      </c>
      <c r="FB29" s="1" t="b">
        <v>1</v>
      </c>
      <c r="FC29" s="1" t="b" cm="1">
        <f t="array" ref="FC29">DeathTraded(EZ29,$O$3,DV13,$O$2,DV29,$O$3,DV45,$O$4,DV61,$O$5,DV77,$O$6,$R$2)</f>
        <v>0</v>
      </c>
      <c r="FD29" s="1" t="str" cm="1">
        <f t="array" ref="FD29:FI29">DetermineKill(ConvertToRoundTime(secandmin(CK13),secandmin(CJ31),CL13),CJ13,CN13,CO13,CM13,CQ13,CP13,$O$3)</f>
        <v>UNKNOWN</v>
      </c>
      <c r="FE29" s="1" t="b">
        <v>0</v>
      </c>
      <c r="FF29" s="1" t="str">
        <v>Floofs</v>
      </c>
      <c r="FG29" s="1">
        <v>89</v>
      </c>
      <c r="FH29" s="1" t="b">
        <v>0</v>
      </c>
      <c r="FI29" s="1" t="b">
        <v>1</v>
      </c>
      <c r="FJ29" s="1" t="b" cm="1">
        <f t="array" ref="FJ29">DeathTraded(FG29,$O$3,DV13,$O$2,DV29,$O$3,DV45,$O$4,DV61,$O$5,DV77,$O$6,$R$2)</f>
        <v>0</v>
      </c>
      <c r="FK29" s="1" t="str" cm="1">
        <f t="array" ref="FK29:FP29">DetermineKill(ConvertToRoundTime(secandmin(CT13),secandmin(CJ31),CU13),CS13,CW13,CX13,CV13,CZ13,CY13,$O$3)</f>
        <v>UNKNOWN</v>
      </c>
      <c r="FL29" s="1" t="b">
        <v>0</v>
      </c>
      <c r="FM29" s="1" t="str">
        <v>Snipey</v>
      </c>
      <c r="FN29" s="1">
        <v>157</v>
      </c>
      <c r="FO29" s="1" t="b">
        <v>0</v>
      </c>
      <c r="FP29" s="1" t="b">
        <v>1</v>
      </c>
      <c r="FQ29" s="1" t="b" cm="1">
        <f t="array" ref="FQ29">DeathTraded(FN29,$O$3,DV13,$O$2,DV29,$O$3,DV45,$O$4,DV61,$O$5,DV77,$O$6,$R$2)</f>
        <v>0</v>
      </c>
      <c r="FR29" s="1" t="str" cm="1">
        <f t="array" ref="FR29:FW29">DetermineKill(ConvertToRoundTime(secandmin(DC13),secandmin(CJ31),DD13),DB13,DF13,DG13,DE13,DI13,DH13,$O$3)</f>
        <v>NOLOC</v>
      </c>
      <c r="FS29" s="1" t="b">
        <v>0</v>
      </c>
      <c r="FT29" s="1" t="b">
        <v>0</v>
      </c>
      <c r="FU29" s="1" t="b">
        <v>0</v>
      </c>
      <c r="FV29" s="1" t="b">
        <v>0</v>
      </c>
      <c r="FW29" s="1" t="b">
        <v>0</v>
      </c>
      <c r="FX29" s="1" t="str" cm="1">
        <f t="array" ref="FX29">DeathTraded(FU29,$O$3,DV13,$O$2,DV29,$O$3,DV45,$O$4,DV61,$O$5,DV77,$O$6,$R$2)</f>
        <v>N/A</v>
      </c>
      <c r="FY29" s="5">
        <v>7</v>
      </c>
      <c r="FZ29" s="1">
        <f t="shared" si="19"/>
        <v>0</v>
      </c>
      <c r="GA29" s="21">
        <f t="shared" si="20"/>
        <v>0</v>
      </c>
      <c r="GB29" s="1" t="str">
        <f t="shared" si="13"/>
        <v>NODATA</v>
      </c>
      <c r="GC29" s="13" t="str">
        <f t="shared" si="21"/>
        <v>NODATA</v>
      </c>
      <c r="GD29" s="1" t="str">
        <f t="shared" si="23"/>
        <v>NODATA</v>
      </c>
      <c r="GE29" s="1" t="str">
        <f t="shared" si="22"/>
        <v>NODATA</v>
      </c>
      <c r="GF29" s="1" t="str" cm="1">
        <f t="array" ref="GF29">IF($V$2=TRUE,IF(CH31="Attack",ConvertToRoundTime(secandmin(BI31),secandmin(CJ31),BJ31),""),"NO DATA")</f>
        <v/>
      </c>
      <c r="GG29" s="1" t="str" cm="1">
        <f t="array" ref="GG29">IF($V$2=TRUE,IF(CH31="Attack",ConvertToRoundTime(secandmin(BQ31),secandmin(CJ31),BR31),""),"NO DATA")</f>
        <v/>
      </c>
    </row>
    <row r="30" spans="27:189" x14ac:dyDescent="0.25">
      <c r="AB30" s="4">
        <v>6</v>
      </c>
      <c r="AC30" s="15">
        <v>0</v>
      </c>
      <c r="AD30" s="39"/>
      <c r="AE30" s="15"/>
      <c r="AF30" s="39"/>
      <c r="AG30" s="15"/>
      <c r="AH30" s="39"/>
      <c r="AI30" s="15"/>
      <c r="AJ30" s="39"/>
      <c r="AK30" s="15"/>
      <c r="AL30" s="39"/>
      <c r="AM30" s="15"/>
      <c r="AN30" s="39"/>
      <c r="AO30" s="15"/>
      <c r="AP30" s="39"/>
      <c r="AQ30" s="15"/>
      <c r="AR30" s="39"/>
      <c r="AS30" s="15"/>
      <c r="AT30" s="39"/>
      <c r="AV30" s="4">
        <v>6</v>
      </c>
      <c r="AW30" s="15"/>
      <c r="AX30" s="39"/>
      <c r="AY30" s="15"/>
      <c r="AZ30" s="39"/>
      <c r="BA30" s="15"/>
      <c r="BB30" s="4">
        <v>6</v>
      </c>
      <c r="BC30" s="46"/>
      <c r="BD30" s="1" t="b">
        <v>0</v>
      </c>
      <c r="BE30" s="44"/>
      <c r="BF30" s="1" t="b">
        <v>0</v>
      </c>
      <c r="BG30" s="37"/>
      <c r="BH30" s="4">
        <v>6</v>
      </c>
      <c r="BI30" s="46"/>
      <c r="BJ30" s="1" t="b">
        <v>0</v>
      </c>
      <c r="BK30" s="44"/>
      <c r="BL30" s="1" t="b">
        <v>0</v>
      </c>
      <c r="BM30" s="37"/>
      <c r="BN30" s="4">
        <v>6</v>
      </c>
      <c r="BO30" s="46"/>
      <c r="BP30" s="1" t="b">
        <v>0</v>
      </c>
      <c r="BQ30" s="44"/>
      <c r="BR30" s="1" t="b">
        <v>0</v>
      </c>
      <c r="BS30" s="37"/>
      <c r="BT30" s="4">
        <v>6</v>
      </c>
      <c r="BU30" s="46"/>
      <c r="BV30" s="1" t="b">
        <v>0</v>
      </c>
      <c r="BW30" s="44"/>
      <c r="BX30" s="1" t="b">
        <v>0</v>
      </c>
      <c r="BY30" s="37"/>
      <c r="BZ30" s="4">
        <v>6</v>
      </c>
      <c r="CA30" s="46"/>
      <c r="CB30" s="1" t="b">
        <v>0</v>
      </c>
      <c r="CC30" s="44"/>
      <c r="CD30" s="1" t="b">
        <v>0</v>
      </c>
      <c r="CE30" s="37"/>
      <c r="CF30" s="1" t="b">
        <v>0</v>
      </c>
      <c r="CH30" s="14" t="s">
        <v>360</v>
      </c>
      <c r="CI30" s="39" t="s">
        <v>198</v>
      </c>
      <c r="CJ30" s="46"/>
      <c r="CK30" s="44" t="s">
        <v>392</v>
      </c>
      <c r="CL30" s="15"/>
      <c r="CM30" s="44" t="s">
        <v>361</v>
      </c>
      <c r="CP30" s="15" t="s">
        <v>126</v>
      </c>
      <c r="CQ30" s="39" t="s">
        <v>90</v>
      </c>
      <c r="CR30" s="15" t="s">
        <v>108</v>
      </c>
      <c r="CS30" s="39" t="s">
        <v>92</v>
      </c>
      <c r="CT30" s="15" t="s">
        <v>124</v>
      </c>
      <c r="DP30" s="37"/>
      <c r="DQ30" s="48" t="str">
        <f ca="1">A2</f>
        <v>8_22 Skyscraper_1</v>
      </c>
      <c r="DR30" s="4">
        <v>8</v>
      </c>
      <c r="DS30" s="1" t="str">
        <v>Defense</v>
      </c>
      <c r="DT30" s="1" t="str">
        <f t="shared" si="14"/>
        <v>Chos3n</v>
      </c>
      <c r="DU30" s="1" t="str">
        <v>Mute</v>
      </c>
      <c r="DV30" s="21" t="b" cm="1">
        <f t="array" ref="DV30">ConvertToRoundTime(secandmin(AK14),secandmin(CJ32),AL14)</f>
        <v>0</v>
      </c>
      <c r="DW30" s="1" t="b">
        <v>0</v>
      </c>
      <c r="DX30" s="1" t="str" cm="1">
        <f t="array" ref="DX30">DeathRefragged(DV30,MAX(ES14,ES30,ES46,ES62,ES78,FA95),MAX(EZ14,EZ30,EZ46,EZ62,EZ78,FI95),MAX(FG14,FG30,FG46,FG62,FG78,FP95),MAX(FN14,FN30,FN46,FN62,FN78,FW95),MAX(FU14,FU30,FU46,FU62,FU78,GD95),$Q$2)</f>
        <v>N/A</v>
      </c>
      <c r="DY30" s="1" t="str" cm="1">
        <f t="array" ref="DY30">DeathTraded(DV30,DW30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30" s="1" t="b">
        <v>0</v>
      </c>
      <c r="EA30" s="1" t="str">
        <v>NOLOC</v>
      </c>
      <c r="EB30" s="1" t="b" cm="1">
        <f t="array" ref="EB30">OpeningDeath(MAX(ES14,ES30,ES46,ES62,ES78),DV30,DV14,DV46,DV62,DV78)</f>
        <v>0</v>
      </c>
      <c r="EC30" s="1" t="b" cm="1">
        <f t="array" ref="EC30">EntryDeath(DV30,DV14,DV46,DV62,DV78)</f>
        <v>0</v>
      </c>
      <c r="ED30" s="4">
        <v>8</v>
      </c>
      <c r="EE30" s="1">
        <f t="shared" si="12"/>
        <v>3</v>
      </c>
      <c r="EF30" s="1">
        <f t="shared" si="15"/>
        <v>1</v>
      </c>
      <c r="EG30" s="1">
        <f t="shared" si="16"/>
        <v>0</v>
      </c>
      <c r="EH30" s="1" cm="1">
        <f t="array" ref="EH30">ExitFrag(EN30,MAX(DV14,DV46,DV62,DV78),MAX(ES14,ES30,ES46,ES62,ES78,FA95),MAX(EZ14,EZ30,EZ46,EZ62,EZ78,FI95),MAX(FG14,FG30,FG46,FG62,FG78,FP95),MAX(FN14,FN30,FN46,FN62,FN78,FW95),MAX(FU14,FU30,FU46,FU62,FU78,GD95))</f>
        <v>0</v>
      </c>
      <c r="EI30" s="1" t="b" cm="1">
        <f t="array" ref="EI30">OpeningKill(ES30,ES14,ES46,ES62,ES78,FB95,DV14,DV30,DV46,DV62,DV78)</f>
        <v>1</v>
      </c>
      <c r="EJ30" s="1" t="b">
        <f t="shared" si="17"/>
        <v>1</v>
      </c>
      <c r="EK30" s="4">
        <v>8</v>
      </c>
      <c r="EL30" s="1" t="b">
        <v>0</v>
      </c>
      <c r="EM30" s="1" t="b" cm="1">
        <f t="array" ref="EM30">IF(NOT(ISBLANK(CP32)),KOST(EE30,DY30,DV30,EL30),"NOT PLAYED")</f>
        <v>1</v>
      </c>
      <c r="EN30" s="1" t="b" cm="1">
        <f t="array" ref="EN30">OneVX(DV46,DV62,DV78,DV14,DV30)</f>
        <v>0</v>
      </c>
      <c r="EO30" s="1" t="b">
        <f t="shared" si="18"/>
        <v>0</v>
      </c>
      <c r="EP30" s="1" t="str" cm="1">
        <f t="array" ref="EP30:EU30">DetermineKill(ConvertToRoundTime(secandmin(BS14),secandmin(CJ32),BT14),BR14,BV14,BW14,BU14,BY14,BX14,$O$3)</f>
        <v>UNKNOWN</v>
      </c>
      <c r="EQ30" s="1" t="b">
        <v>0</v>
      </c>
      <c r="ER30" s="1" t="str">
        <v>Snipey</v>
      </c>
      <c r="ES30" s="1">
        <v>65</v>
      </c>
      <c r="ET30" s="1" t="b">
        <v>0</v>
      </c>
      <c r="EU30" s="1" t="b">
        <v>1</v>
      </c>
      <c r="EV30" s="1" t="b" cm="1">
        <f t="array" ref="EV30">DeathTraded(ES30,$O$3,DV14,$O$2,DV30,$O$3,DV46,$O$4,DV62,$O$5,DV78,$O$6,$R$2)</f>
        <v>0</v>
      </c>
      <c r="EW30" s="1" t="str" cm="1">
        <f t="array" ref="EW30:FB30">DetermineKill(ConvertToRoundTime(secandmin(CB14),secandmin(CJ32),CC14),CA14,CE14,CF14,CD14,CH14,CG14,$O$3)</f>
        <v>UNKNOWN</v>
      </c>
      <c r="EX30" s="1" t="b">
        <v>0</v>
      </c>
      <c r="EY30" s="1" t="str">
        <v>Rival</v>
      </c>
      <c r="EZ30" s="1">
        <v>66</v>
      </c>
      <c r="FA30" s="1" t="b">
        <v>0</v>
      </c>
      <c r="FB30" s="1" t="b">
        <v>0</v>
      </c>
      <c r="FC30" s="1" t="b" cm="1">
        <f t="array" ref="FC30">DeathTraded(EZ30,$O$3,DV14,$O$2,DV30,$O$3,DV46,$O$4,DV62,$O$5,DV78,$O$6,$R$2)</f>
        <v>0</v>
      </c>
      <c r="FD30" s="1" t="str" cm="1">
        <f t="array" ref="FD30:FI30">DetermineKill(ConvertToRoundTime(secandmin(CK14),secandmin(CJ32),CL14),CJ14,CN14,CO14,CM14,CQ14,CP14,$O$3)</f>
        <v>NOLOC</v>
      </c>
      <c r="FE30" s="1" t="b">
        <v>0</v>
      </c>
      <c r="FF30" s="1" t="b">
        <v>0</v>
      </c>
      <c r="FG30" s="1" t="b">
        <v>0</v>
      </c>
      <c r="FH30" s="1" t="b">
        <v>0</v>
      </c>
      <c r="FI30" s="1" t="b">
        <v>0</v>
      </c>
      <c r="FJ30" s="1" t="str" cm="1">
        <f t="array" ref="FJ30">DeathTraded(FG30,$O$3,DV14,$O$2,DV30,$O$3,DV46,$O$4,DV62,$O$5,DV78,$O$6,$R$2)</f>
        <v>N/A</v>
      </c>
      <c r="FK30" s="1" t="str" cm="1">
        <f t="array" ref="FK30:FP30">DetermineKill(ConvertToRoundTime(secandmin(CT14),secandmin(CJ32),CU14),CS14,CW14,CX14,CV14,CZ14,CY14,$O$3)</f>
        <v>UNKNOWN</v>
      </c>
      <c r="FL30" s="1" t="b">
        <v>0</v>
      </c>
      <c r="FM30" s="1" t="str">
        <v>Kiru</v>
      </c>
      <c r="FN30" s="1">
        <v>87</v>
      </c>
      <c r="FO30" s="1" t="b">
        <v>0</v>
      </c>
      <c r="FP30" s="1" t="b">
        <v>0</v>
      </c>
      <c r="FQ30" s="1" t="b" cm="1">
        <f t="array" ref="FQ30">DeathTraded(FN30,$O$3,DV14,$O$2,DV30,$O$3,DV46,$O$4,DV62,$O$5,DV78,$O$6,$R$2)</f>
        <v>0</v>
      </c>
      <c r="FR30" s="1" t="str" cm="1">
        <f t="array" ref="FR30:FW30">DetermineKill(ConvertToRoundTime(secandmin(DC14),secandmin(CJ32),DD14),DB14,DF14,DG14,DE14,DI14,DH14,$O$3)</f>
        <v>NOLOC</v>
      </c>
      <c r="FS30" s="1" t="b">
        <v>0</v>
      </c>
      <c r="FT30" s="1" t="b">
        <v>0</v>
      </c>
      <c r="FU30" s="1" t="b">
        <v>0</v>
      </c>
      <c r="FV30" s="1" t="b">
        <v>0</v>
      </c>
      <c r="FW30" s="1" t="b">
        <v>0</v>
      </c>
      <c r="FX30" s="1" t="str" cm="1">
        <f t="array" ref="FX30">DeathTraded(FU30,$O$3,DV14,$O$2,DV30,$O$3,DV46,$O$4,DV62,$O$5,DV78,$O$6,$R$2)</f>
        <v>N/A</v>
      </c>
      <c r="FY30" s="4">
        <v>8</v>
      </c>
      <c r="FZ30" s="1">
        <f t="shared" si="19"/>
        <v>0</v>
      </c>
      <c r="GA30" s="21">
        <f t="shared" si="20"/>
        <v>0</v>
      </c>
      <c r="GB30" s="1" t="str">
        <f t="shared" si="13"/>
        <v>NODATA</v>
      </c>
      <c r="GC30" s="13" t="str">
        <f t="shared" si="21"/>
        <v>NODATA</v>
      </c>
      <c r="GD30" s="1" t="str">
        <f t="shared" si="23"/>
        <v>NODATA</v>
      </c>
      <c r="GE30" s="1" t="str">
        <f t="shared" si="22"/>
        <v>NODATA</v>
      </c>
      <c r="GF30" s="1" t="str" cm="1">
        <f t="array" ref="GF30">IF($V$2=TRUE,IF(CH32="Attack",ConvertToRoundTime(secandmin(BI32),secandmin(CJ32),BJ32),""),"NO DATA")</f>
        <v/>
      </c>
      <c r="GG30" s="1" t="str" cm="1">
        <f t="array" ref="GG30">IF($V$2=TRUE,IF(CH32="Attack",ConvertToRoundTime(secandmin(BQ32),secandmin(CJ32),BR32),""),"NO DATA")</f>
        <v/>
      </c>
    </row>
    <row r="31" spans="27:189" x14ac:dyDescent="0.25">
      <c r="AB31" s="5">
        <v>7</v>
      </c>
      <c r="AC31" s="14"/>
      <c r="AD31" s="38"/>
      <c r="AE31" s="14"/>
      <c r="AF31" s="38"/>
      <c r="AG31" s="14"/>
      <c r="AH31" s="38"/>
      <c r="AI31" s="14">
        <v>4</v>
      </c>
      <c r="AJ31" s="38">
        <v>5</v>
      </c>
      <c r="AK31" s="14"/>
      <c r="AL31" s="38"/>
      <c r="AM31" s="14"/>
      <c r="AN31" s="38"/>
      <c r="AO31" s="14"/>
      <c r="AP31" s="38"/>
      <c r="AQ31" s="14"/>
      <c r="AR31" s="38"/>
      <c r="AS31" s="14"/>
      <c r="AT31" s="38"/>
      <c r="AV31" s="5">
        <v>7</v>
      </c>
      <c r="AW31" s="14"/>
      <c r="AX31" s="38"/>
      <c r="AY31" s="14"/>
      <c r="AZ31" s="38"/>
      <c r="BA31" s="14"/>
      <c r="BB31" s="5">
        <v>7</v>
      </c>
      <c r="BC31" s="45"/>
      <c r="BD31" s="1" t="b">
        <v>0</v>
      </c>
      <c r="BE31" s="43"/>
      <c r="BF31" s="1" t="b">
        <v>0</v>
      </c>
      <c r="BG31" s="37"/>
      <c r="BH31" s="5">
        <v>7</v>
      </c>
      <c r="BI31" s="45"/>
      <c r="BJ31" s="1" t="b">
        <v>0</v>
      </c>
      <c r="BK31" s="43"/>
      <c r="BL31" s="1" t="b">
        <v>0</v>
      </c>
      <c r="BM31" s="37"/>
      <c r="BN31" s="5">
        <v>7</v>
      </c>
      <c r="BO31" s="45"/>
      <c r="BP31" s="1" t="b">
        <v>0</v>
      </c>
      <c r="BQ31" s="43"/>
      <c r="BR31" s="1" t="b">
        <v>0</v>
      </c>
      <c r="BS31" s="37"/>
      <c r="BT31" s="5">
        <v>7</v>
      </c>
      <c r="BU31" s="45"/>
      <c r="BV31" s="1" t="b">
        <v>0</v>
      </c>
      <c r="BW31" s="43"/>
      <c r="BX31" s="1" t="b">
        <v>0</v>
      </c>
      <c r="BY31" s="37"/>
      <c r="BZ31" s="5">
        <v>7</v>
      </c>
      <c r="CA31" s="45"/>
      <c r="CB31" s="1" t="b">
        <v>0</v>
      </c>
      <c r="CC31" s="43"/>
      <c r="CD31" s="1" t="b">
        <v>0</v>
      </c>
      <c r="CE31" s="37"/>
      <c r="CF31" s="1" t="b">
        <v>0</v>
      </c>
      <c r="CH31" s="14" t="s">
        <v>403</v>
      </c>
      <c r="CI31" s="38" t="s">
        <v>198</v>
      </c>
      <c r="CJ31" s="45"/>
      <c r="CK31" s="43" t="s">
        <v>389</v>
      </c>
      <c r="CL31" s="14"/>
      <c r="CM31" s="43" t="s">
        <v>362</v>
      </c>
      <c r="CP31" s="14" t="s">
        <v>115</v>
      </c>
      <c r="CQ31" s="38" t="s">
        <v>93</v>
      </c>
      <c r="CR31" s="14" t="s">
        <v>129</v>
      </c>
      <c r="CS31" s="38" t="s">
        <v>85</v>
      </c>
      <c r="CT31" s="14" t="s">
        <v>139</v>
      </c>
      <c r="DP31" s="37"/>
      <c r="DQ31" s="48" t="str">
        <f ca="1">A2</f>
        <v>8_22 Skyscraper_1</v>
      </c>
      <c r="DR31" s="5">
        <v>9</v>
      </c>
      <c r="DS31" s="1" t="str">
        <v>Defense</v>
      </c>
      <c r="DT31" s="1" t="str">
        <f t="shared" si="14"/>
        <v>Chos3n</v>
      </c>
      <c r="DU31" s="1" t="str">
        <v>Warden</v>
      </c>
      <c r="DV31" s="21" cm="1">
        <f t="array" ref="DV31">ConvertToRoundTime(secandmin(AK15),secandmin(CJ33),AL15)</f>
        <v>152</v>
      </c>
      <c r="DW31" s="1" t="str">
        <v>Kiru</v>
      </c>
      <c r="DX31" s="1" t="b" cm="1">
        <f t="array" ref="DX31">DeathRefragged(DV31,MAX(ES15,ES31,ES47,ES63,ES79,FA96),MAX(EZ15,EZ31,EZ47,EZ63,EZ79,FI96),MAX(FG15,FG31,FG47,FG63,FG79,FP96),MAX(FN15,FN31,FN47,FN63,FN79,FW96),MAX(FU15,FU31,FU47,FU63,FU79,GD96),$Q$2)</f>
        <v>0</v>
      </c>
      <c r="DY31" s="1" t="b" cm="1">
        <f t="array" ref="DY31">DeathTraded(DV31,DW31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31" s="1" t="b">
        <v>0</v>
      </c>
      <c r="EA31" s="1" t="str">
        <v>NOLOC</v>
      </c>
      <c r="EB31" s="1" t="b" cm="1">
        <f t="array" ref="EB31">OpeningDeath(MAX(ES15,ES31,ES47,ES63,ES79),DV31,DV15,DV47,DV63,DV79)</f>
        <v>0</v>
      </c>
      <c r="EC31" s="1" t="b" cm="1">
        <f t="array" ref="EC31">EntryDeath(DV31,DV15,DV47,DV63,DV79)</f>
        <v>0</v>
      </c>
      <c r="ED31" s="5">
        <v>9</v>
      </c>
      <c r="EE31" s="1">
        <f t="shared" si="12"/>
        <v>0</v>
      </c>
      <c r="EF31" s="1">
        <f t="shared" si="15"/>
        <v>0</v>
      </c>
      <c r="EG31" s="1">
        <f t="shared" si="16"/>
        <v>0</v>
      </c>
      <c r="EH31" s="1" cm="1">
        <f t="array" ref="EH31">ExitFrag(EN31,MAX(DV15,DV47,DV63,DV79),MAX(ES15,ES31,ES47,ES63,ES79,FA96),MAX(EZ15,EZ31,EZ47,EZ63,EZ79,FI96),MAX(FG15,FG31,FG47,FG63,FG79,FP96),MAX(FN15,FN31,FN47,FN63,FN79,FW96),MAX(FU15,FU31,FU47,FU63,FU79,GD96))</f>
        <v>0</v>
      </c>
      <c r="EI31" s="1" t="b" cm="1">
        <f t="array" ref="EI31">OpeningKill(ES31,ES15,ES47,ES63,ES79,FB96,DV15,DV31,DV47,DV63,DV79)</f>
        <v>0</v>
      </c>
      <c r="EJ31" s="1" t="b">
        <f t="shared" si="17"/>
        <v>0</v>
      </c>
      <c r="EK31" s="5">
        <v>9</v>
      </c>
      <c r="EL31" s="1" t="b">
        <v>0</v>
      </c>
      <c r="EM31" s="1" t="b" cm="1">
        <f t="array" ref="EM31">IF(NOT(ISBLANK(CP33)),KOST(EE31,DY31,DV31,EL31),"NOT PLAYED")</f>
        <v>0</v>
      </c>
      <c r="EN31" s="1" t="b" cm="1">
        <f t="array" ref="EN31">OneVX(DV47,DV63,DV79,DV15,DV31)</f>
        <v>0</v>
      </c>
      <c r="EO31" s="1" t="b">
        <f t="shared" si="18"/>
        <v>0</v>
      </c>
      <c r="EP31" s="1" t="str" cm="1">
        <f t="array" ref="EP31:EU31">DetermineKill(ConvertToRoundTime(secandmin(BS15),secandmin(CJ33),BT15),BR15,BV15,BW15,BU15,BY15,BX15,$O$3)</f>
        <v>NOLOC</v>
      </c>
      <c r="EQ31" s="1" t="b">
        <v>0</v>
      </c>
      <c r="ER31" s="1" t="b">
        <v>0</v>
      </c>
      <c r="ES31" s="1" t="b">
        <v>0</v>
      </c>
      <c r="ET31" s="1" t="b">
        <v>0</v>
      </c>
      <c r="EU31" s="1" t="b">
        <v>0</v>
      </c>
      <c r="EV31" s="1" t="str" cm="1">
        <f t="array" ref="EV31">DeathTraded(ES31,$O$3,DV15,$O$2,DV31,$O$3,DV47,$O$4,DV63,$O$5,DV79,$O$6,$R$2)</f>
        <v>N/A</v>
      </c>
      <c r="EW31" s="1" t="str" cm="1">
        <f t="array" ref="EW31:FB31">DetermineKill(ConvertToRoundTime(secandmin(CB15),secandmin(CJ33),CC15),CA15,CE15,CF15,CD15,CH15,CG15,$O$3)</f>
        <v>NOLOC</v>
      </c>
      <c r="EX31" s="1" t="b">
        <v>0</v>
      </c>
      <c r="EY31" s="1" t="b">
        <v>0</v>
      </c>
      <c r="EZ31" s="1" t="b">
        <v>0</v>
      </c>
      <c r="FA31" s="1" t="b">
        <v>0</v>
      </c>
      <c r="FB31" s="1" t="b">
        <v>0</v>
      </c>
      <c r="FC31" s="1" t="str" cm="1">
        <f t="array" ref="FC31">DeathTraded(EZ31,$O$3,DV15,$O$2,DV31,$O$3,DV47,$O$4,DV63,$O$5,DV79,$O$6,$R$2)</f>
        <v>N/A</v>
      </c>
      <c r="FD31" s="1" t="str" cm="1">
        <f t="array" ref="FD31:FI31">DetermineKill(ConvertToRoundTime(secandmin(CK15),secandmin(CJ33),CL15),CJ15,CN15,CO15,CM15,CQ15,CP15,$O$3)</f>
        <v>NOLOC</v>
      </c>
      <c r="FE31" s="1" t="b">
        <v>0</v>
      </c>
      <c r="FF31" s="1" t="b">
        <v>0</v>
      </c>
      <c r="FG31" s="1" t="b">
        <v>0</v>
      </c>
      <c r="FH31" s="1" t="b">
        <v>0</v>
      </c>
      <c r="FI31" s="1" t="b">
        <v>0</v>
      </c>
      <c r="FJ31" s="1" t="str" cm="1">
        <f t="array" ref="FJ31">DeathTraded(FG31,$O$3,DV15,$O$2,DV31,$O$3,DV47,$O$4,DV63,$O$5,DV79,$O$6,$R$2)</f>
        <v>N/A</v>
      </c>
      <c r="FK31" s="1" t="str" cm="1">
        <f t="array" ref="FK31:FP31">DetermineKill(ConvertToRoundTime(secandmin(CT15),secandmin(CJ33),CU15),CS15,CW15,CX15,CV15,CZ15,CY15,$O$3)</f>
        <v>NOLOC</v>
      </c>
      <c r="FL31" s="1" t="b">
        <v>0</v>
      </c>
      <c r="FM31" s="1" t="b">
        <v>0</v>
      </c>
      <c r="FN31" s="1" t="b">
        <v>0</v>
      </c>
      <c r="FO31" s="1" t="b">
        <v>0</v>
      </c>
      <c r="FP31" s="1" t="b">
        <v>0</v>
      </c>
      <c r="FQ31" s="1" t="str" cm="1">
        <f t="array" ref="FQ31">DeathTraded(FN31,$O$3,DV15,$O$2,DV31,$O$3,DV47,$O$4,DV63,$O$5,DV79,$O$6,$R$2)</f>
        <v>N/A</v>
      </c>
      <c r="FR31" s="1" t="str" cm="1">
        <f t="array" ref="FR31:FW31">DetermineKill(ConvertToRoundTime(secandmin(DC15),secandmin(CJ33),DD15),DB15,DF15,DG15,DE15,DI15,DH15,$O$3)</f>
        <v>NOLOC</v>
      </c>
      <c r="FS31" s="1" t="b">
        <v>0</v>
      </c>
      <c r="FT31" s="1" t="b">
        <v>0</v>
      </c>
      <c r="FU31" s="1" t="b">
        <v>0</v>
      </c>
      <c r="FV31" s="1" t="b">
        <v>0</v>
      </c>
      <c r="FW31" s="1" t="b">
        <v>0</v>
      </c>
      <c r="FX31" s="1" t="str" cm="1">
        <f t="array" ref="FX31">DeathTraded(FU31,$O$3,DV15,$O$2,DV31,$O$3,DV47,$O$4,DV63,$O$5,DV79,$O$6,$R$2)</f>
        <v>N/A</v>
      </c>
      <c r="FY31" s="5">
        <v>9</v>
      </c>
      <c r="FZ31" s="1">
        <f t="shared" si="19"/>
        <v>0</v>
      </c>
      <c r="GA31" s="21">
        <f t="shared" si="20"/>
        <v>0</v>
      </c>
      <c r="GB31" s="1" t="str">
        <f t="shared" si="13"/>
        <v>NODATA</v>
      </c>
      <c r="GC31" s="13" t="str">
        <f t="shared" si="21"/>
        <v>NODATA</v>
      </c>
      <c r="GD31" s="1" t="str">
        <f t="shared" si="23"/>
        <v>NODATA</v>
      </c>
      <c r="GE31" s="1" t="str">
        <f t="shared" si="22"/>
        <v>NODATA</v>
      </c>
      <c r="GF31" s="1" t="str" cm="1">
        <f t="array" ref="GF31">IF($V$2=TRUE,IF(CH33="Attack",ConvertToRoundTime(secandmin(BI33),secandmin(CJ33),BJ33),""),"NO DATA")</f>
        <v/>
      </c>
      <c r="GG31" s="1" t="str" cm="1">
        <f t="array" ref="GG31">IF($V$2=TRUE,IF(CH33="Attack",ConvertToRoundTime(secandmin(BQ33),secandmin(CJ33),BR33),""),"NO DATA")</f>
        <v/>
      </c>
    </row>
    <row r="32" spans="27:189" x14ac:dyDescent="0.25">
      <c r="AB32" s="4">
        <v>8</v>
      </c>
      <c r="AC32" s="15"/>
      <c r="AD32" s="39"/>
      <c r="AE32" s="15"/>
      <c r="AF32" s="39"/>
      <c r="AG32" s="15"/>
      <c r="AH32" s="39"/>
      <c r="AI32" s="15">
        <v>1</v>
      </c>
      <c r="AJ32" s="39">
        <v>1</v>
      </c>
      <c r="AK32" s="15"/>
      <c r="AL32" s="39"/>
      <c r="AM32" s="15"/>
      <c r="AN32" s="39"/>
      <c r="AO32" s="15"/>
      <c r="AP32" s="39"/>
      <c r="AQ32" s="15"/>
      <c r="AR32" s="39"/>
      <c r="AS32" s="15"/>
      <c r="AT32" s="39"/>
      <c r="AV32" s="4">
        <v>8</v>
      </c>
      <c r="AW32" s="15"/>
      <c r="AX32" s="39"/>
      <c r="AY32" s="15"/>
      <c r="AZ32" s="39"/>
      <c r="BA32" s="15"/>
      <c r="BB32" s="4">
        <v>8</v>
      </c>
      <c r="BC32" s="46"/>
      <c r="BD32" s="1" t="b">
        <v>0</v>
      </c>
      <c r="BE32" s="44"/>
      <c r="BF32" s="1" t="b">
        <v>0</v>
      </c>
      <c r="BG32" s="37"/>
      <c r="BH32" s="4">
        <v>8</v>
      </c>
      <c r="BI32" s="46"/>
      <c r="BJ32" s="1" t="b">
        <v>0</v>
      </c>
      <c r="BK32" s="44"/>
      <c r="BL32" s="1" t="b">
        <v>0</v>
      </c>
      <c r="BM32" s="37"/>
      <c r="BN32" s="4">
        <v>8</v>
      </c>
      <c r="BO32" s="46"/>
      <c r="BP32" s="1" t="b">
        <v>0</v>
      </c>
      <c r="BQ32" s="44"/>
      <c r="BR32" s="1" t="b">
        <v>0</v>
      </c>
      <c r="BS32" s="37"/>
      <c r="BT32" s="4">
        <v>8</v>
      </c>
      <c r="BU32" s="46"/>
      <c r="BV32" s="1" t="b">
        <v>0</v>
      </c>
      <c r="BW32" s="44"/>
      <c r="BX32" s="1" t="b">
        <v>0</v>
      </c>
      <c r="BY32" s="37"/>
      <c r="BZ32" s="4">
        <v>8</v>
      </c>
      <c r="CA32" s="46"/>
      <c r="CB32" s="1" t="b">
        <v>0</v>
      </c>
      <c r="CC32" s="44"/>
      <c r="CD32" s="1" t="b">
        <v>0</v>
      </c>
      <c r="CE32" s="37"/>
      <c r="CF32" s="1" t="b">
        <v>0</v>
      </c>
      <c r="CH32" s="14" t="s">
        <v>403</v>
      </c>
      <c r="CI32" s="39" t="s">
        <v>197</v>
      </c>
      <c r="CJ32" s="46"/>
      <c r="CK32" s="44" t="s">
        <v>396</v>
      </c>
      <c r="CL32" s="15"/>
      <c r="CM32" s="44" t="s">
        <v>362</v>
      </c>
      <c r="CP32" s="15" t="s">
        <v>103</v>
      </c>
      <c r="CQ32" s="39" t="s">
        <v>127</v>
      </c>
      <c r="CR32" s="15" t="s">
        <v>129</v>
      </c>
      <c r="CS32" s="39" t="s">
        <v>95</v>
      </c>
      <c r="CT32" s="15" t="s">
        <v>139</v>
      </c>
      <c r="DP32" s="37"/>
      <c r="DQ32" s="48" t="str">
        <f ca="1">A2</f>
        <v>8_22 Skyscraper_1</v>
      </c>
      <c r="DR32" s="4">
        <v>10</v>
      </c>
      <c r="DS32" s="1" t="str">
        <v>Defense</v>
      </c>
      <c r="DT32" s="1" t="str">
        <f t="shared" si="14"/>
        <v>Chos3n</v>
      </c>
      <c r="DU32" s="1" t="str">
        <v>Warden</v>
      </c>
      <c r="DV32" s="21" t="b" cm="1">
        <f t="array" ref="DV32">ConvertToRoundTime(secandmin(AK16),secandmin(CJ34),AL16)</f>
        <v>0</v>
      </c>
      <c r="DW32" s="1" t="b">
        <v>0</v>
      </c>
      <c r="DX32" s="1" t="str" cm="1">
        <f t="array" ref="DX32">DeathRefragged(DV32,MAX(ES16,ES32,ES48,ES64,ES80,FA97),MAX(EZ16,EZ32,EZ48,EZ64,EZ80,FI97),MAX(FG16,FG32,FG48,FG64,FG80,FP97),MAX(FN16,FN32,FN48,FN64,FN80,FW97),MAX(FU16,FU32,FU48,FU64,FU80,GD97),$Q$2)</f>
        <v>N/A</v>
      </c>
      <c r="DY32" s="1" t="str" cm="1">
        <f t="array" ref="DY32">DeathTraded(DV32,DW32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32" s="1" t="b">
        <v>0</v>
      </c>
      <c r="EA32" s="1" t="str">
        <v>NOLOC</v>
      </c>
      <c r="EB32" s="1" t="b" cm="1">
        <f t="array" ref="EB32">OpeningDeath(MAX(ES16,ES32,ES48,ES64,ES80),DV32,DV16,DV48,DV64,DV80)</f>
        <v>0</v>
      </c>
      <c r="EC32" s="1" t="b" cm="1">
        <f t="array" ref="EC32">EntryDeath(DV32,DV16,DV48,DV64,DV80)</f>
        <v>0</v>
      </c>
      <c r="ED32" s="4">
        <v>10</v>
      </c>
      <c r="EE32" s="1">
        <f t="shared" si="12"/>
        <v>0</v>
      </c>
      <c r="EF32" s="1">
        <f t="shared" si="15"/>
        <v>0</v>
      </c>
      <c r="EG32" s="1">
        <f t="shared" si="16"/>
        <v>0</v>
      </c>
      <c r="EH32" s="1" cm="1">
        <f t="array" ref="EH32">ExitFrag(EN32,MAX(DV16,DV48,DV64,DV80),MAX(ES16,ES32,ES48,ES64,ES80,FA97),MAX(EZ16,EZ32,EZ48,EZ64,EZ80,FI97),MAX(FG16,FG32,FG48,FG64,FG80,FP97),MAX(FN16,FN32,FN48,FN64,FN80,FW97),MAX(FU16,FU32,FU48,FU64,FU80,GD97))</f>
        <v>0</v>
      </c>
      <c r="EI32" s="1" t="b" cm="1">
        <f t="array" ref="EI32">OpeningKill(ES32,ES16,ES48,ES64,ES80,FB97,DV16,DV32,DV48,DV64,DV80)</f>
        <v>0</v>
      </c>
      <c r="EJ32" s="1" t="b">
        <f t="shared" si="17"/>
        <v>0</v>
      </c>
      <c r="EK32" s="4">
        <v>10</v>
      </c>
      <c r="EL32" s="1" t="b">
        <v>0</v>
      </c>
      <c r="EM32" s="1" t="b" cm="1">
        <f t="array" ref="EM32">IF(NOT(ISBLANK(CP34)),KOST(EE32,DY32,DV32,EL32),"NOT PLAYED")</f>
        <v>1</v>
      </c>
      <c r="EN32" s="1" t="b" cm="1">
        <f t="array" ref="EN32">OneVX(DV48,DV64,DV80,DV16,DV32)</f>
        <v>0</v>
      </c>
      <c r="EO32" s="1" t="b">
        <f t="shared" si="18"/>
        <v>0</v>
      </c>
      <c r="EP32" s="1" t="str" cm="1">
        <f t="array" ref="EP32:EU32">DetermineKill(ConvertToRoundTime(secandmin(BS16),secandmin(CJ34),BT16),BR16,BV16,BW16,BU16,BY16,BX16,$O$3)</f>
        <v>NOLOC</v>
      </c>
      <c r="EQ32" s="1" t="b">
        <v>0</v>
      </c>
      <c r="ER32" s="1" t="b">
        <v>0</v>
      </c>
      <c r="ES32" s="1" t="b">
        <v>0</v>
      </c>
      <c r="ET32" s="1" t="b">
        <v>0</v>
      </c>
      <c r="EU32" s="1" t="b">
        <v>0</v>
      </c>
      <c r="EV32" s="1" t="str" cm="1">
        <f t="array" ref="EV32">DeathTraded(ES32,$O$3,DV16,$O$2,DV32,$O$3,DV48,$O$4,DV64,$O$5,DV80,$O$6,$R$2)</f>
        <v>N/A</v>
      </c>
      <c r="EW32" s="1" t="str" cm="1">
        <f t="array" ref="EW32:FB32">DetermineKill(ConvertToRoundTime(secandmin(CB16),secandmin(CJ34),CC16),CA16,CE16,CF16,CD16,CH16,CG16,$O$3)</f>
        <v>NOLOC</v>
      </c>
      <c r="EX32" s="1" t="b">
        <v>0</v>
      </c>
      <c r="EY32" s="1" t="b">
        <v>0</v>
      </c>
      <c r="EZ32" s="1" t="b">
        <v>0</v>
      </c>
      <c r="FA32" s="1" t="b">
        <v>0</v>
      </c>
      <c r="FB32" s="1" t="b">
        <v>0</v>
      </c>
      <c r="FC32" s="1" t="str" cm="1">
        <f t="array" ref="FC32">DeathTraded(EZ32,$O$3,DV16,$O$2,DV32,$O$3,DV48,$O$4,DV64,$O$5,DV80,$O$6,$R$2)</f>
        <v>N/A</v>
      </c>
      <c r="FD32" s="1" t="str" cm="1">
        <f t="array" ref="FD32:FI32">DetermineKill(ConvertToRoundTime(secandmin(CK16),secandmin(CJ34),CL16),CJ16,CN16,CO16,CM16,CQ16,CP16,$O$3)</f>
        <v>NOLOC</v>
      </c>
      <c r="FE32" s="1" t="b">
        <v>0</v>
      </c>
      <c r="FF32" s="1" t="b">
        <v>0</v>
      </c>
      <c r="FG32" s="1" t="b">
        <v>0</v>
      </c>
      <c r="FH32" s="1" t="b">
        <v>0</v>
      </c>
      <c r="FI32" s="1" t="b">
        <v>0</v>
      </c>
      <c r="FJ32" s="1" t="str" cm="1">
        <f t="array" ref="FJ32">DeathTraded(FG32,$O$3,DV16,$O$2,DV32,$O$3,DV48,$O$4,DV64,$O$5,DV80,$O$6,$R$2)</f>
        <v>N/A</v>
      </c>
      <c r="FK32" s="1" t="str" cm="1">
        <f t="array" ref="FK32:FP32">DetermineKill(ConvertToRoundTime(secandmin(CT16),secandmin(CJ34),CU16),CS16,CW16,CX16,CV16,CZ16,CY16,$O$3)</f>
        <v>NOLOC</v>
      </c>
      <c r="FL32" s="1" t="b">
        <v>0</v>
      </c>
      <c r="FM32" s="1" t="b">
        <v>0</v>
      </c>
      <c r="FN32" s="1" t="b">
        <v>0</v>
      </c>
      <c r="FO32" s="1" t="b">
        <v>0</v>
      </c>
      <c r="FP32" s="1" t="b">
        <v>0</v>
      </c>
      <c r="FQ32" s="1" t="str" cm="1">
        <f t="array" ref="FQ32">DeathTraded(FN32,$O$3,DV16,$O$2,DV32,$O$3,DV48,$O$4,DV64,$O$5,DV80,$O$6,$R$2)</f>
        <v>N/A</v>
      </c>
      <c r="FR32" s="1" t="str" cm="1">
        <f t="array" ref="FR32:FW32">DetermineKill(ConvertToRoundTime(secandmin(DC16),secandmin(CJ34),DD16),DB16,DF16,DG16,DE16,DI16,DH16,$O$3)</f>
        <v>NOLOC</v>
      </c>
      <c r="FS32" s="1" t="b">
        <v>0</v>
      </c>
      <c r="FT32" s="1" t="b">
        <v>0</v>
      </c>
      <c r="FU32" s="1" t="b">
        <v>0</v>
      </c>
      <c r="FV32" s="1" t="b">
        <v>0</v>
      </c>
      <c r="FW32" s="1" t="b">
        <v>0</v>
      </c>
      <c r="FX32" s="1" t="str" cm="1">
        <f t="array" ref="FX32">DeathTraded(FU32,$O$3,DV16,$O$2,DV32,$O$3,DV48,$O$4,DV64,$O$5,DV80,$O$6,$R$2)</f>
        <v>N/A</v>
      </c>
      <c r="FY32" s="4">
        <v>10</v>
      </c>
      <c r="FZ32" s="1">
        <f t="shared" si="19"/>
        <v>0</v>
      </c>
      <c r="GA32" s="21">
        <f t="shared" si="20"/>
        <v>0</v>
      </c>
      <c r="GB32" s="1" t="str">
        <f t="shared" si="13"/>
        <v>NODATA</v>
      </c>
      <c r="GC32" s="13" t="str">
        <f t="shared" si="21"/>
        <v>NODATA</v>
      </c>
      <c r="GD32" s="1" t="str">
        <f t="shared" si="23"/>
        <v>NODATA</v>
      </c>
      <c r="GE32" s="1" t="str">
        <f t="shared" si="22"/>
        <v>NODATA</v>
      </c>
      <c r="GF32" s="1" t="str" cm="1">
        <f t="array" ref="GF32">IF($V$2=TRUE,IF(CH34="Attack",ConvertToRoundTime(secandmin(BI34),secandmin(CJ34),BJ34),""),"NO DATA")</f>
        <v/>
      </c>
      <c r="GG32" s="1" t="str" cm="1">
        <f t="array" ref="GG32">IF($V$2=TRUE,IF(CH34="Attack",ConvertToRoundTime(secandmin(BQ34),secandmin(CJ34),BR34),""),"NO DATA")</f>
        <v/>
      </c>
    </row>
    <row r="33" spans="27:189" x14ac:dyDescent="0.25">
      <c r="AB33" s="5">
        <v>9</v>
      </c>
      <c r="AC33" s="14"/>
      <c r="AD33" s="38"/>
      <c r="AE33" s="14"/>
      <c r="AF33" s="38"/>
      <c r="AG33" s="14"/>
      <c r="AH33" s="38"/>
      <c r="AI33" s="14">
        <v>3</v>
      </c>
      <c r="AJ33" s="38">
        <v>6</v>
      </c>
      <c r="AK33" s="14"/>
      <c r="AL33" s="38"/>
      <c r="AM33" s="14"/>
      <c r="AN33" s="38"/>
      <c r="AO33" s="14"/>
      <c r="AP33" s="38"/>
      <c r="AQ33" s="14"/>
      <c r="AR33" s="38"/>
      <c r="AS33" s="14"/>
      <c r="AT33" s="38"/>
      <c r="AV33" s="5">
        <v>9</v>
      </c>
      <c r="AW33" s="14"/>
      <c r="AX33" s="38"/>
      <c r="AY33" s="14"/>
      <c r="AZ33" s="38"/>
      <c r="BA33" s="14"/>
      <c r="BB33" s="5">
        <v>9</v>
      </c>
      <c r="BC33" s="45"/>
      <c r="BD33" s="1" t="b">
        <v>0</v>
      </c>
      <c r="BE33" s="43"/>
      <c r="BF33" s="1" t="b">
        <v>0</v>
      </c>
      <c r="BG33" s="37"/>
      <c r="BH33" s="5">
        <v>9</v>
      </c>
      <c r="BI33" s="45"/>
      <c r="BJ33" s="1" t="b">
        <v>0</v>
      </c>
      <c r="BK33" s="43"/>
      <c r="BL33" s="1" t="b">
        <v>0</v>
      </c>
      <c r="BM33" s="37"/>
      <c r="BN33" s="5">
        <v>9</v>
      </c>
      <c r="BO33" s="45"/>
      <c r="BP33" s="1" t="b">
        <v>0</v>
      </c>
      <c r="BQ33" s="43"/>
      <c r="BR33" s="1" t="b">
        <v>0</v>
      </c>
      <c r="BS33" s="37"/>
      <c r="BT33" s="5">
        <v>9</v>
      </c>
      <c r="BU33" s="45"/>
      <c r="BV33" s="1" t="b">
        <v>0</v>
      </c>
      <c r="BW33" s="43"/>
      <c r="BX33" s="1" t="b">
        <v>0</v>
      </c>
      <c r="BY33" s="37"/>
      <c r="BZ33" s="5">
        <v>9</v>
      </c>
      <c r="CA33" s="45"/>
      <c r="CB33" s="1" t="b">
        <v>0</v>
      </c>
      <c r="CC33" s="43"/>
      <c r="CD33" s="1" t="b">
        <v>0</v>
      </c>
      <c r="CE33" s="37"/>
      <c r="CF33" s="1" t="b">
        <v>0</v>
      </c>
      <c r="CH33" s="14" t="s">
        <v>403</v>
      </c>
      <c r="CI33" s="38" t="s">
        <v>196</v>
      </c>
      <c r="CJ33" s="45" t="s">
        <v>402</v>
      </c>
      <c r="CK33" s="43" t="s">
        <v>378</v>
      </c>
      <c r="CL33" s="14"/>
      <c r="CM33" s="43" t="s">
        <v>361</v>
      </c>
      <c r="CP33" s="14" t="s">
        <v>115</v>
      </c>
      <c r="CQ33" s="38" t="s">
        <v>99</v>
      </c>
      <c r="CR33" s="14" t="s">
        <v>129</v>
      </c>
      <c r="CS33" s="38" t="s">
        <v>109</v>
      </c>
      <c r="CT33" s="14" t="s">
        <v>139</v>
      </c>
      <c r="DP33" s="37"/>
      <c r="DQ33" s="48" t="str">
        <f ca="1">A2</f>
        <v>8_22 Skyscraper_1</v>
      </c>
      <c r="DR33" s="5">
        <v>11</v>
      </c>
      <c r="DS33" s="1" t="str">
        <v>Defense</v>
      </c>
      <c r="DT33" s="1" t="str">
        <f t="shared" si="14"/>
        <v>Chos3n</v>
      </c>
      <c r="DU33" s="1" t="str">
        <v>Mute</v>
      </c>
      <c r="DV33" s="21" t="b" cm="1">
        <f t="array" ref="DV33">ConvertToRoundTime(secandmin(AK17),secandmin(CJ35),AL17)</f>
        <v>0</v>
      </c>
      <c r="DW33" s="1" t="b">
        <v>0</v>
      </c>
      <c r="DX33" s="1" t="str" cm="1">
        <f t="array" ref="DX33">DeathRefragged(DV33,MAX(ES17,ES33,ES49,ES65,ES81,FA98),MAX(EZ17,EZ33,EZ49,EZ65,EZ81,FI98),MAX(FG17,FG33,FG49,FG65,FG81,FP98),MAX(FN17,FN33,FN49,FN65,FN81,FW98),MAX(FU17,FU33,FU49,FU65,FU81,GD98),$Q$2)</f>
        <v>N/A</v>
      </c>
      <c r="DY33" s="1" t="str" cm="1">
        <f t="array" ref="DY33">DeathTraded(DV33,DW33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33" s="1" t="b">
        <v>0</v>
      </c>
      <c r="EA33" s="1" t="str">
        <v>NOLOC</v>
      </c>
      <c r="EB33" s="1" t="b" cm="1">
        <f t="array" ref="EB33">OpeningDeath(MAX(ES17,ES33,ES49,ES65,ES81),DV33,DV17,DV49,DV65,DV81)</f>
        <v>0</v>
      </c>
      <c r="EC33" s="1" t="b" cm="1">
        <f t="array" ref="EC33">EntryDeath(DV33,DV17,DV49,DV65,DV81)</f>
        <v>0</v>
      </c>
      <c r="ED33" s="5">
        <v>11</v>
      </c>
      <c r="EE33" s="1">
        <f t="shared" si="12"/>
        <v>1</v>
      </c>
      <c r="EF33" s="1">
        <f t="shared" si="15"/>
        <v>0</v>
      </c>
      <c r="EG33" s="1">
        <f t="shared" si="16"/>
        <v>0</v>
      </c>
      <c r="EH33" s="1" cm="1">
        <f t="array" ref="EH33">ExitFrag(EN33,MAX(DV17,DV49,DV65,DV81),MAX(ES17,ES33,ES49,ES65,ES81,FA98),MAX(EZ17,EZ33,EZ49,EZ65,EZ81,FI98),MAX(FG17,FG33,FG49,FG65,FG81,FP98),MAX(FN17,FN33,FN49,FN65,FN81,FW98),MAX(FU17,FU33,FU49,FU65,FU81,GD98))</f>
        <v>0</v>
      </c>
      <c r="EI33" s="1" t="b" cm="1">
        <f t="array" ref="EI33">OpeningKill(ES33,ES17,ES49,ES65,ES81,FB98,DV17,DV33,DV49,DV65,DV81)</f>
        <v>0</v>
      </c>
      <c r="EJ33" s="1" t="b">
        <f t="shared" si="17"/>
        <v>0</v>
      </c>
      <c r="EK33" s="5">
        <v>11</v>
      </c>
      <c r="EL33" s="1" t="b">
        <v>0</v>
      </c>
      <c r="EM33" s="1" t="b" cm="1">
        <f t="array" ref="EM33">IF(NOT(ISBLANK(CP35)),KOST(EE33,DY33,DV33,EL33),"NOT PLAYED")</f>
        <v>1</v>
      </c>
      <c r="EN33" s="1" t="b" cm="1">
        <f t="array" ref="EN33">OneVX(DV49,DV65,DV81,DV17,DV33)</f>
        <v>0</v>
      </c>
      <c r="EO33" s="1" t="b">
        <f t="shared" si="18"/>
        <v>0</v>
      </c>
      <c r="EP33" s="1" t="str" cm="1">
        <f t="array" ref="EP33:EU33">DetermineKill(ConvertToRoundTime(secandmin(BS17),secandmin(CJ35),BT17),BR17,BV17,BW17,BU17,BY17,BX17,$O$3)</f>
        <v>NOLOC</v>
      </c>
      <c r="EQ33" s="1" t="b">
        <v>0</v>
      </c>
      <c r="ER33" s="1" t="b">
        <v>0</v>
      </c>
      <c r="ES33" s="1" t="b">
        <v>0</v>
      </c>
      <c r="ET33" s="1" t="b">
        <v>0</v>
      </c>
      <c r="EU33" s="1" t="b">
        <v>0</v>
      </c>
      <c r="EV33" s="1" t="str" cm="1">
        <f t="array" ref="EV33">DeathTraded(ES33,$O$3,DV17,$O$2,DV33,$O$3,DV49,$O$4,DV65,$O$5,DV81,$O$6,$R$2)</f>
        <v>N/A</v>
      </c>
      <c r="EW33" s="1" t="str" cm="1">
        <f t="array" ref="EW33:FB33">DetermineKill(ConvertToRoundTime(secandmin(CB17),secandmin(CJ35),CC17),CA17,CE17,CF17,CD17,CH17,CG17,$O$3)</f>
        <v>NOLOC</v>
      </c>
      <c r="EX33" s="1" t="b">
        <v>0</v>
      </c>
      <c r="EY33" s="1" t="b">
        <v>0</v>
      </c>
      <c r="EZ33" s="1" t="b">
        <v>0</v>
      </c>
      <c r="FA33" s="1" t="b">
        <v>0</v>
      </c>
      <c r="FB33" s="1" t="b">
        <v>0</v>
      </c>
      <c r="FC33" s="1" t="str" cm="1">
        <f t="array" ref="FC33">DeathTraded(EZ33,$O$3,DV17,$O$2,DV33,$O$3,DV49,$O$4,DV65,$O$5,DV81,$O$6,$R$2)</f>
        <v>N/A</v>
      </c>
      <c r="FD33" s="1" t="str" cm="1">
        <f t="array" ref="FD33:FI33">DetermineKill(ConvertToRoundTime(secandmin(CK17),secandmin(CJ35),CL17),CJ17,CN17,CO17,CM17,CQ17,CP17,$O$3)</f>
        <v>NOLOC</v>
      </c>
      <c r="FE33" s="1" t="b">
        <v>0</v>
      </c>
      <c r="FF33" s="1" t="b">
        <v>0</v>
      </c>
      <c r="FG33" s="1" t="b">
        <v>0</v>
      </c>
      <c r="FH33" s="1" t="b">
        <v>0</v>
      </c>
      <c r="FI33" s="1" t="b">
        <v>0</v>
      </c>
      <c r="FJ33" s="1" t="str" cm="1">
        <f t="array" ref="FJ33">DeathTraded(FG33,$O$3,DV17,$O$2,DV33,$O$3,DV49,$O$4,DV65,$O$5,DV81,$O$6,$R$2)</f>
        <v>N/A</v>
      </c>
      <c r="FK33" s="1" t="str" cm="1">
        <f t="array" ref="FK33:FP33">DetermineKill(ConvertToRoundTime(secandmin(CT17),secandmin(CJ35),CU17),CS17,CW17,CX17,CV17,CZ17,CY17,$O$3)</f>
        <v>NOLOC</v>
      </c>
      <c r="FL33" s="1" t="b">
        <v>0</v>
      </c>
      <c r="FM33" s="1" t="b">
        <v>0</v>
      </c>
      <c r="FN33" s="1" t="b">
        <v>0</v>
      </c>
      <c r="FO33" s="1" t="b">
        <v>0</v>
      </c>
      <c r="FP33" s="1" t="b">
        <v>0</v>
      </c>
      <c r="FQ33" s="1" t="str" cm="1">
        <f t="array" ref="FQ33">DeathTraded(FN33,$O$3,DV17,$O$2,DV33,$O$3,DV49,$O$4,DV65,$O$5,DV81,$O$6,$R$2)</f>
        <v>N/A</v>
      </c>
      <c r="FR33" s="1" t="str" cm="1">
        <f t="array" ref="FR33:FW33">DetermineKill(ConvertToRoundTime(secandmin(DC17),secandmin(CJ35),DD17),DB17,DF17,DG17,DE17,DI17,DH17,$O$3)</f>
        <v>UNKNOWN</v>
      </c>
      <c r="FS33" s="1" t="b">
        <v>0</v>
      </c>
      <c r="FT33" s="1" t="str">
        <v>Kouiyn</v>
      </c>
      <c r="FU33" s="1">
        <v>127</v>
      </c>
      <c r="FV33" s="1" t="b">
        <v>0</v>
      </c>
      <c r="FW33" s="1" t="b">
        <v>0</v>
      </c>
      <c r="FX33" s="1" t="b" cm="1">
        <f t="array" ref="FX33">DeathTraded(FU33,$O$3,DV17,$O$2,DV33,$O$3,DV49,$O$4,DV65,$O$5,DV81,$O$6,$R$2)</f>
        <v>0</v>
      </c>
      <c r="FY33" s="5">
        <v>11</v>
      </c>
      <c r="FZ33" s="1">
        <f t="shared" si="19"/>
        <v>0</v>
      </c>
      <c r="GA33" s="21">
        <f t="shared" si="20"/>
        <v>0</v>
      </c>
      <c r="GB33" s="1" t="str">
        <f t="shared" si="13"/>
        <v>NODATA</v>
      </c>
      <c r="GC33" s="13" t="str">
        <f t="shared" si="21"/>
        <v>NODATA</v>
      </c>
      <c r="GD33" s="1" t="str">
        <f t="shared" si="23"/>
        <v>NODATA</v>
      </c>
      <c r="GE33" s="1" t="str">
        <f t="shared" si="22"/>
        <v>NODATA</v>
      </c>
      <c r="GF33" s="1" t="str" cm="1">
        <f t="array" ref="GF33">IF($V$2=TRUE,IF(CH35="Attack",ConvertToRoundTime(secandmin(BI35),secandmin(CJ35),BJ35),""),"NO DATA")</f>
        <v/>
      </c>
      <c r="GG33" s="1" t="str" cm="1">
        <f t="array" ref="GG33">IF($V$2=TRUE,IF(CH35="Attack",ConvertToRoundTime(secandmin(BQ35),secandmin(CJ35),BR35),""),"NO DATA")</f>
        <v/>
      </c>
    </row>
    <row r="34" spans="27:189" x14ac:dyDescent="0.25">
      <c r="AB34" s="4">
        <v>10</v>
      </c>
      <c r="AC34" s="15"/>
      <c r="AD34" s="39"/>
      <c r="AE34" s="15"/>
      <c r="AF34" s="39"/>
      <c r="AG34" s="15"/>
      <c r="AH34" s="39"/>
      <c r="AI34" s="15">
        <v>4</v>
      </c>
      <c r="AJ34" s="39">
        <v>7</v>
      </c>
      <c r="AK34" s="15"/>
      <c r="AL34" s="39"/>
      <c r="AM34" s="15"/>
      <c r="AN34" s="39"/>
      <c r="AO34" s="15"/>
      <c r="AP34" s="39"/>
      <c r="AQ34" s="15"/>
      <c r="AR34" s="39"/>
      <c r="AS34" s="15"/>
      <c r="AT34" s="39"/>
      <c r="AV34" s="4">
        <v>10</v>
      </c>
      <c r="AW34" s="15"/>
      <c r="AX34" s="39"/>
      <c r="AY34" s="15"/>
      <c r="AZ34" s="39"/>
      <c r="BA34" s="15"/>
      <c r="BB34" s="4">
        <v>10</v>
      </c>
      <c r="BC34" s="46"/>
      <c r="BD34" s="1" t="b">
        <v>0</v>
      </c>
      <c r="BE34" s="44"/>
      <c r="BF34" s="1" t="b">
        <v>0</v>
      </c>
      <c r="BG34" s="37"/>
      <c r="BH34" s="4">
        <v>10</v>
      </c>
      <c r="BI34" s="46"/>
      <c r="BJ34" s="1" t="b">
        <v>0</v>
      </c>
      <c r="BK34" s="44"/>
      <c r="BL34" s="1" t="b">
        <v>0</v>
      </c>
      <c r="BM34" s="37"/>
      <c r="BN34" s="4">
        <v>10</v>
      </c>
      <c r="BO34" s="46"/>
      <c r="BP34" s="1" t="b">
        <v>0</v>
      </c>
      <c r="BQ34" s="44"/>
      <c r="BR34" s="1" t="b">
        <v>0</v>
      </c>
      <c r="BS34" s="37"/>
      <c r="BT34" s="4">
        <v>10</v>
      </c>
      <c r="BU34" s="46"/>
      <c r="BV34" s="1" t="b">
        <v>0</v>
      </c>
      <c r="BW34" s="44"/>
      <c r="BX34" s="1" t="b">
        <v>0</v>
      </c>
      <c r="BY34" s="37"/>
      <c r="BZ34" s="4">
        <v>10</v>
      </c>
      <c r="CA34" s="46"/>
      <c r="CB34" s="1" t="b">
        <v>0</v>
      </c>
      <c r="CC34" s="44"/>
      <c r="CD34" s="1" t="b">
        <v>0</v>
      </c>
      <c r="CE34" s="37"/>
      <c r="CF34" s="1" t="b">
        <v>0</v>
      </c>
      <c r="CH34" s="14" t="s">
        <v>403</v>
      </c>
      <c r="CI34" s="39" t="s">
        <v>196</v>
      </c>
      <c r="CJ34" s="46"/>
      <c r="CK34" s="44" t="s">
        <v>382</v>
      </c>
      <c r="CL34" s="15"/>
      <c r="CM34" s="44" t="s">
        <v>362</v>
      </c>
      <c r="CP34" s="15" t="s">
        <v>115</v>
      </c>
      <c r="CQ34" s="39" t="s">
        <v>99</v>
      </c>
      <c r="CR34" s="15" t="s">
        <v>129</v>
      </c>
      <c r="CS34" s="39" t="s">
        <v>91</v>
      </c>
      <c r="CT34" s="15" t="s">
        <v>101</v>
      </c>
      <c r="DP34" s="37"/>
      <c r="DQ34" s="48" t="str">
        <f ca="1">A2</f>
        <v>8_22 Skyscraper_1</v>
      </c>
      <c r="DR34" s="4">
        <v>12</v>
      </c>
      <c r="DS34" s="1" t="str">
        <v>Not Played</v>
      </c>
      <c r="DT34" s="1" t="str">
        <f t="shared" si="14"/>
        <v>Chos3n</v>
      </c>
      <c r="DU34" s="1" t="str">
        <v>Not Played</v>
      </c>
      <c r="DV34" s="21" t="b" cm="1">
        <f t="array" ref="DV34">ConvertToRoundTime(secandmin(AK18),secandmin(CJ36),AL18)</f>
        <v>0</v>
      </c>
      <c r="DW34" s="1" t="b">
        <v>0</v>
      </c>
      <c r="DX34" s="1" t="str" cm="1">
        <f t="array" ref="DX34">DeathRefragged(DV34,MAX(ES18,ES34,ES50,ES66,ES82,FA99),MAX(EZ18,EZ34,EZ50,EZ66,EZ82,FI99),MAX(FG18,FG34,FG50,FG66,FG82,FP99),MAX(FN18,FN34,FN50,FN66,FN82,FW99),MAX(FU18,FU34,FU50,FU66,FU82,GD99),$Q$2)</f>
        <v>N/A</v>
      </c>
      <c r="DY34" s="1" t="str" cm="1">
        <f t="array" ref="DY34">DeathTraded(DV34,DW34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34" s="1" t="b">
        <v>0</v>
      </c>
      <c r="EA34" s="1" t="str">
        <v>NOLOC</v>
      </c>
      <c r="EB34" s="1" t="b" cm="1">
        <f t="array" ref="EB34">OpeningDeath(MAX(ES18,ES34,ES50,ES66,ES82),DV34,DV18,DV50,DV66,DV82)</f>
        <v>0</v>
      </c>
      <c r="EC34" s="1" t="b" cm="1">
        <f t="array" ref="EC34">EntryDeath(DV34,DV18,DV50,DV66,DV82)</f>
        <v>0</v>
      </c>
      <c r="ED34" s="4">
        <v>12</v>
      </c>
      <c r="EE34" s="1">
        <f t="shared" si="12"/>
        <v>0</v>
      </c>
      <c r="EF34" s="1">
        <f t="shared" si="15"/>
        <v>0</v>
      </c>
      <c r="EG34" s="1">
        <f t="shared" si="16"/>
        <v>0</v>
      </c>
      <c r="EH34" s="1" cm="1">
        <f t="array" ref="EH34">ExitFrag(EN34,MAX(DV18,DV50,DV66,DV82),MAX(ES18,ES34,ES50,ES66,ES82,FA99),MAX(EZ18,EZ34,EZ50,EZ66,EZ82,FI99),MAX(FG18,FG34,FG50,FG66,FG82,FP99),MAX(FN18,FN34,FN50,FN66,FN82,FW99),MAX(FU18,FU34,FU50,FU66,FU82,GD99))</f>
        <v>0</v>
      </c>
      <c r="EI34" s="1" t="b" cm="1">
        <f t="array" ref="EI34">OpeningKill(ES34,ES18,ES50,ES66,ES82,FB99,DV18,DV34,DV50,DV66,DV82)</f>
        <v>0</v>
      </c>
      <c r="EJ34" s="1" t="b">
        <f t="shared" si="17"/>
        <v>0</v>
      </c>
      <c r="EK34" s="4">
        <v>12</v>
      </c>
      <c r="EL34" s="1" t="b">
        <v>0</v>
      </c>
      <c r="EM34" s="1" t="str" cm="1">
        <f t="array" ref="EM34">IF(NOT(ISBLANK(CP36)),KOST(EE34,DY34,DV34,EL34),"NOT PLAYED")</f>
        <v>NOT PLAYED</v>
      </c>
      <c r="EN34" s="1" t="b" cm="1">
        <f t="array" ref="EN34">OneVX(DV50,DV66,DV82,DV18,DV34)</f>
        <v>0</v>
      </c>
      <c r="EO34" s="1" t="b">
        <f t="shared" si="18"/>
        <v>0</v>
      </c>
      <c r="EP34" s="1" t="str" cm="1">
        <f t="array" ref="EP34:EU34">DetermineKill(ConvertToRoundTime(secandmin(BS18),secandmin(CJ36),BT18),BR18,BV18,BW18,BU18,BY18,BX18,$O$3)</f>
        <v>NOLOC</v>
      </c>
      <c r="EQ34" s="1" t="b">
        <v>0</v>
      </c>
      <c r="ER34" s="1" t="b">
        <v>0</v>
      </c>
      <c r="ES34" s="1" t="b">
        <v>0</v>
      </c>
      <c r="ET34" s="1" t="b">
        <v>0</v>
      </c>
      <c r="EU34" s="1" t="b">
        <v>0</v>
      </c>
      <c r="EV34" s="1" t="str" cm="1">
        <f t="array" ref="EV34">DeathTraded(ES34,$O$3,DV18,$O$2,DV34,$O$3,DV50,$O$4,DV66,$O$5,DV82,$O$6,$R$2)</f>
        <v>N/A</v>
      </c>
      <c r="EW34" s="1" t="str" cm="1">
        <f t="array" ref="EW34:FB34">DetermineKill(ConvertToRoundTime(secandmin(CB18),secandmin(CJ36),CC18),CA18,CE18,CF18,CD18,CH18,CG18,$O$3)</f>
        <v>NOLOC</v>
      </c>
      <c r="EX34" s="1" t="b">
        <v>0</v>
      </c>
      <c r="EY34" s="1" t="b">
        <v>0</v>
      </c>
      <c r="EZ34" s="1" t="b">
        <v>0</v>
      </c>
      <c r="FA34" s="1" t="b">
        <v>0</v>
      </c>
      <c r="FB34" s="1" t="b">
        <v>0</v>
      </c>
      <c r="FC34" s="1" t="str" cm="1">
        <f t="array" ref="FC34">DeathTraded(EZ34,$O$3,DV18,$O$2,DV34,$O$3,DV50,$O$4,DV66,$O$5,DV82,$O$6,$R$2)</f>
        <v>N/A</v>
      </c>
      <c r="FD34" s="1" t="str" cm="1">
        <f t="array" ref="FD34:FI34">DetermineKill(ConvertToRoundTime(secandmin(CK18),secandmin(CJ36),CL18),CJ18,CN18,CO18,CM18,CQ18,CP18,$O$3)</f>
        <v>NOLOC</v>
      </c>
      <c r="FE34" s="1" t="b">
        <v>0</v>
      </c>
      <c r="FF34" s="1" t="b">
        <v>0</v>
      </c>
      <c r="FG34" s="1" t="b">
        <v>0</v>
      </c>
      <c r="FH34" s="1" t="b">
        <v>0</v>
      </c>
      <c r="FI34" s="1" t="b">
        <v>0</v>
      </c>
      <c r="FJ34" s="1" t="str" cm="1">
        <f t="array" ref="FJ34">DeathTraded(FG34,$O$3,DV18,$O$2,DV34,$O$3,DV50,$O$4,DV66,$O$5,DV82,$O$6,$R$2)</f>
        <v>N/A</v>
      </c>
      <c r="FK34" s="1" t="str" cm="1">
        <f t="array" ref="FK34:FP34">DetermineKill(ConvertToRoundTime(secandmin(CT18),secandmin(CJ36),CU18),CS18,CW18,CX18,CV18,CZ18,CY18,$O$3)</f>
        <v>NOLOC</v>
      </c>
      <c r="FL34" s="1" t="b">
        <v>0</v>
      </c>
      <c r="FM34" s="1" t="b">
        <v>0</v>
      </c>
      <c r="FN34" s="1" t="b">
        <v>0</v>
      </c>
      <c r="FO34" s="1" t="b">
        <v>0</v>
      </c>
      <c r="FP34" s="1" t="b">
        <v>0</v>
      </c>
      <c r="FQ34" s="1" t="str" cm="1">
        <f t="array" ref="FQ34">DeathTraded(FN34,$O$3,DV18,$O$2,DV34,$O$3,DV50,$O$4,DV66,$O$5,DV82,$O$6,$R$2)</f>
        <v>N/A</v>
      </c>
      <c r="FR34" s="1" t="str" cm="1">
        <f t="array" ref="FR34:FW34">DetermineKill(ConvertToRoundTime(secandmin(DC18),secandmin(CJ36),DD18),DB18,DF18,DG18,DE18,DI18,DH18,$O$3)</f>
        <v>NOLOC</v>
      </c>
      <c r="FS34" s="1" t="b">
        <v>0</v>
      </c>
      <c r="FT34" s="1" t="b">
        <v>0</v>
      </c>
      <c r="FU34" s="1" t="b">
        <v>0</v>
      </c>
      <c r="FV34" s="1" t="b">
        <v>0</v>
      </c>
      <c r="FW34" s="1" t="b">
        <v>0</v>
      </c>
      <c r="FX34" s="1" t="str" cm="1">
        <f t="array" ref="FX34">DeathTraded(FU34,$O$3,DV18,$O$2,DV34,$O$3,DV50,$O$4,DV66,$O$5,DV82,$O$6,$R$2)</f>
        <v>N/A</v>
      </c>
      <c r="FY34" s="4">
        <v>12</v>
      </c>
      <c r="FZ34" s="1">
        <f t="shared" si="19"/>
        <v>0</v>
      </c>
      <c r="GA34" s="21">
        <f t="shared" si="20"/>
        <v>0</v>
      </c>
      <c r="GB34" s="1" t="str">
        <f t="shared" si="13"/>
        <v>NODATA</v>
      </c>
      <c r="GC34" s="13" t="str">
        <f t="shared" si="21"/>
        <v>NODATA</v>
      </c>
      <c r="GD34" s="1" t="str">
        <f t="shared" si="23"/>
        <v>NODATA</v>
      </c>
      <c r="GE34" s="1" t="str">
        <f t="shared" si="22"/>
        <v>NODATA</v>
      </c>
      <c r="GF34" s="1" t="str" cm="1">
        <f t="array" ref="GF34">IF($V$2=TRUE,IF(CH36="Attack",ConvertToRoundTime(secandmin(BI36),secandmin(CJ36),BJ36),""),"NO DATA")</f>
        <v/>
      </c>
      <c r="GG34" s="1" t="str" cm="1">
        <f t="array" ref="GG34">IF($V$2=TRUE,IF(CH36="Attack",ConvertToRoundTime(secandmin(BQ36),secandmin(CJ36),BR36),""),"NO DATA")</f>
        <v/>
      </c>
    </row>
    <row r="35" spans="27:189" x14ac:dyDescent="0.25">
      <c r="AB35" s="5">
        <v>11</v>
      </c>
      <c r="AC35" s="14"/>
      <c r="AD35" s="38"/>
      <c r="AE35" s="14"/>
      <c r="AF35" s="38"/>
      <c r="AG35" s="14"/>
      <c r="AH35" s="38"/>
      <c r="AI35" s="14">
        <v>1</v>
      </c>
      <c r="AJ35" s="38">
        <v>6</v>
      </c>
      <c r="AK35" s="14"/>
      <c r="AL35" s="38"/>
      <c r="AM35" s="14"/>
      <c r="AN35" s="38"/>
      <c r="AO35" s="14"/>
      <c r="AP35" s="38"/>
      <c r="AQ35" s="14"/>
      <c r="AR35" s="38"/>
      <c r="AS35" s="14"/>
      <c r="AT35" s="38"/>
      <c r="AV35" s="5">
        <v>11</v>
      </c>
      <c r="AW35" s="14"/>
      <c r="AX35" s="38"/>
      <c r="AY35" s="14"/>
      <c r="AZ35" s="38"/>
      <c r="BA35" s="14"/>
      <c r="BB35" s="5">
        <v>11</v>
      </c>
      <c r="BC35" s="45"/>
      <c r="BD35" s="1" t="b">
        <v>0</v>
      </c>
      <c r="BE35" s="43"/>
      <c r="BF35" s="1" t="b">
        <v>0</v>
      </c>
      <c r="BG35" s="37"/>
      <c r="BH35" s="5">
        <v>11</v>
      </c>
      <c r="BI35" s="45"/>
      <c r="BJ35" s="1" t="b">
        <v>0</v>
      </c>
      <c r="BK35" s="43"/>
      <c r="BL35" s="1" t="b">
        <v>0</v>
      </c>
      <c r="BM35" s="37"/>
      <c r="BN35" s="5">
        <v>11</v>
      </c>
      <c r="BO35" s="45"/>
      <c r="BP35" s="1" t="b">
        <v>0</v>
      </c>
      <c r="BQ35" s="43"/>
      <c r="BR35" s="1" t="b">
        <v>0</v>
      </c>
      <c r="BS35" s="37"/>
      <c r="BT35" s="5">
        <v>11</v>
      </c>
      <c r="BU35" s="45"/>
      <c r="BV35" s="1" t="b">
        <v>0</v>
      </c>
      <c r="BW35" s="43"/>
      <c r="BX35" s="1" t="b">
        <v>0</v>
      </c>
      <c r="BY35" s="37"/>
      <c r="BZ35" s="5">
        <v>11</v>
      </c>
      <c r="CA35" s="45"/>
      <c r="CB35" s="1" t="b">
        <v>0</v>
      </c>
      <c r="CC35" s="43"/>
      <c r="CD35" s="1" t="b">
        <v>0</v>
      </c>
      <c r="CE35" s="37"/>
      <c r="CF35" s="1" t="b">
        <v>0</v>
      </c>
      <c r="CH35" s="14" t="s">
        <v>403</v>
      </c>
      <c r="CI35" s="38" t="s">
        <v>197</v>
      </c>
      <c r="CJ35" s="45"/>
      <c r="CK35" s="43" t="s">
        <v>390</v>
      </c>
      <c r="CL35" s="14"/>
      <c r="CM35" s="43" t="s">
        <v>362</v>
      </c>
      <c r="CP35" s="14" t="s">
        <v>139</v>
      </c>
      <c r="CQ35" s="38" t="s">
        <v>127</v>
      </c>
      <c r="CR35" s="14" t="s">
        <v>109</v>
      </c>
      <c r="CS35" s="38" t="s">
        <v>95</v>
      </c>
      <c r="CT35" s="14" t="s">
        <v>103</v>
      </c>
      <c r="DP35" s="37"/>
      <c r="DQ35" s="48" t="str">
        <f ca="1">A2</f>
        <v>8_22 Skyscraper_1</v>
      </c>
      <c r="DR35" s="5">
        <v>13</v>
      </c>
      <c r="DS35" s="1" t="str">
        <v>Not Played</v>
      </c>
      <c r="DT35" s="1" t="str">
        <f t="shared" si="14"/>
        <v>Chos3n</v>
      </c>
      <c r="DU35" s="1" t="str">
        <v>Not Played</v>
      </c>
      <c r="DV35" s="21" t="b" cm="1">
        <f t="array" ref="DV35">ConvertToRoundTime(secandmin(AK19),secandmin(CJ37),AL19)</f>
        <v>0</v>
      </c>
      <c r="DW35" s="1" t="b">
        <v>0</v>
      </c>
      <c r="DX35" s="1" t="str" cm="1">
        <f t="array" ref="DX35">DeathRefragged(DV35,MAX(ES19,ES35,ES51,ES67,ES83,FA100),MAX(EZ19,EZ35,EZ51,EZ67,EZ83,FI100),MAX(FG19,FG35,FG51,FG67,FG83,FP100),MAX(FN19,FN35,FN51,FN67,FN83,FW100),MAX(FU19,FU35,FU51,FU67,FU83,GD100),$Q$2)</f>
        <v>N/A</v>
      </c>
      <c r="DY35" s="1" t="str" cm="1">
        <f t="array" ref="DY35">DeathTraded(DV35,DW35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35" s="1" t="b">
        <v>0</v>
      </c>
      <c r="EA35" s="1" t="str">
        <v>NOLOC</v>
      </c>
      <c r="EB35" s="1" t="b" cm="1">
        <f t="array" ref="EB35">OpeningDeath(MAX(ES19,ES35,ES51,ES67,ES83),DV35,DV19,DV51,DV67,DV83)</f>
        <v>0</v>
      </c>
      <c r="EC35" s="1" t="b" cm="1">
        <f t="array" ref="EC35">EntryDeath(DV35,DV19,DV51,DV67,DV83)</f>
        <v>0</v>
      </c>
      <c r="ED35" s="5">
        <v>13</v>
      </c>
      <c r="EE35" s="1">
        <f t="shared" si="12"/>
        <v>0</v>
      </c>
      <c r="EF35" s="1">
        <f t="shared" si="15"/>
        <v>0</v>
      </c>
      <c r="EG35" s="1">
        <f t="shared" si="16"/>
        <v>0</v>
      </c>
      <c r="EH35" s="1" cm="1">
        <f t="array" ref="EH35">ExitFrag(EN35,MAX(DV19,DV51,DV67,DV83),MAX(ES19,ES35,ES51,ES67,ES83,FA100),MAX(EZ19,EZ35,EZ51,EZ67,EZ83,FI100),MAX(FG19,FG35,FG51,FG67,FG83,FP100),MAX(FN19,FN35,FN51,FN67,FN83,FW100),MAX(FU19,FU35,FU51,FU67,FU83,GD100))</f>
        <v>0</v>
      </c>
      <c r="EI35" s="1" t="b" cm="1">
        <f t="array" ref="EI35">OpeningKill(ES35,ES19,ES51,ES67,ES83,FB100,DV19,DV35,DV51,DV67,DV83)</f>
        <v>0</v>
      </c>
      <c r="EJ35" s="1" t="b">
        <f t="shared" si="17"/>
        <v>0</v>
      </c>
      <c r="EK35" s="5">
        <v>13</v>
      </c>
      <c r="EL35" s="1" t="b">
        <v>0</v>
      </c>
      <c r="EM35" s="1" t="str" cm="1">
        <f t="array" ref="EM35">IF(NOT(ISBLANK(CP37)),KOST(EE35,DY35,DV35,EL35),"NOT PLAYED")</f>
        <v>NOT PLAYED</v>
      </c>
      <c r="EN35" s="1" t="b" cm="1">
        <f t="array" ref="EN35">OneVX(DV51,DV67,DV83,DV19,DV35)</f>
        <v>0</v>
      </c>
      <c r="EO35" s="1" t="b">
        <f t="shared" si="18"/>
        <v>0</v>
      </c>
      <c r="EP35" s="1" t="str" cm="1">
        <f t="array" ref="EP35:EU35">DetermineKill(ConvertToRoundTime(secandmin(BS19),secandmin(CJ37),BT19),BR19,BV19,BW19,BU19,BY19,BX19,$O$3)</f>
        <v>NOLOC</v>
      </c>
      <c r="EQ35" s="1" t="b">
        <v>0</v>
      </c>
      <c r="ER35" s="1" t="b">
        <v>0</v>
      </c>
      <c r="ES35" s="1" t="b">
        <v>0</v>
      </c>
      <c r="ET35" s="1" t="b">
        <v>0</v>
      </c>
      <c r="EU35" s="1" t="b">
        <v>0</v>
      </c>
      <c r="EV35" s="1" t="str" cm="1">
        <f t="array" ref="EV35">DeathTraded(ES35,$O$3,DV19,$O$2,DV35,$O$3,DV51,$O$4,DV67,$O$5,DV83,$O$6,$R$2)</f>
        <v>N/A</v>
      </c>
      <c r="EW35" s="1" t="str" cm="1">
        <f t="array" ref="EW35:FB35">DetermineKill(ConvertToRoundTime(secandmin(CB19),secandmin(CJ37),CC19),CA19,CE19,CF19,CD19,CH19,CG19,$O$3)</f>
        <v>NOLOC</v>
      </c>
      <c r="EX35" s="1" t="b">
        <v>0</v>
      </c>
      <c r="EY35" s="1" t="b">
        <v>0</v>
      </c>
      <c r="EZ35" s="1" t="b">
        <v>0</v>
      </c>
      <c r="FA35" s="1" t="b">
        <v>0</v>
      </c>
      <c r="FB35" s="1" t="b">
        <v>0</v>
      </c>
      <c r="FC35" s="1" t="str" cm="1">
        <f t="array" ref="FC35">DeathTraded(EZ35,$O$3,DV19,$O$2,DV35,$O$3,DV51,$O$4,DV67,$O$5,DV83,$O$6,$R$2)</f>
        <v>N/A</v>
      </c>
      <c r="FD35" s="1" t="str" cm="1">
        <f t="array" ref="FD35:FI35">DetermineKill(ConvertToRoundTime(secandmin(CK19),secandmin(CJ37),CL19),CJ19,CN19,CO19,CM19,CQ19,CP19,$O$3)</f>
        <v>NOLOC</v>
      </c>
      <c r="FE35" s="1" t="b">
        <v>0</v>
      </c>
      <c r="FF35" s="1" t="b">
        <v>0</v>
      </c>
      <c r="FG35" s="1" t="b">
        <v>0</v>
      </c>
      <c r="FH35" s="1" t="b">
        <v>0</v>
      </c>
      <c r="FI35" s="1" t="b">
        <v>0</v>
      </c>
      <c r="FJ35" s="1" t="str" cm="1">
        <f t="array" ref="FJ35">DeathTraded(FG35,$O$3,DV19,$O$2,DV35,$O$3,DV51,$O$4,DV67,$O$5,DV83,$O$6,$R$2)</f>
        <v>N/A</v>
      </c>
      <c r="FK35" s="1" t="str" cm="1">
        <f t="array" ref="FK35:FP35">DetermineKill(ConvertToRoundTime(secandmin(CT19),secandmin(CJ37),CU19),CS19,CW19,CX19,CV19,CZ19,CY19,$O$3)</f>
        <v>NOLOC</v>
      </c>
      <c r="FL35" s="1" t="b">
        <v>0</v>
      </c>
      <c r="FM35" s="1" t="b">
        <v>0</v>
      </c>
      <c r="FN35" s="1" t="b">
        <v>0</v>
      </c>
      <c r="FO35" s="1" t="b">
        <v>0</v>
      </c>
      <c r="FP35" s="1" t="b">
        <v>0</v>
      </c>
      <c r="FQ35" s="1" t="str" cm="1">
        <f t="array" ref="FQ35">DeathTraded(FN35,$O$3,DV19,$O$2,DV35,$O$3,DV51,$O$4,DV67,$O$5,DV83,$O$6,$R$2)</f>
        <v>N/A</v>
      </c>
      <c r="FR35" s="1" t="str" cm="1">
        <f t="array" ref="FR35:FW35">DetermineKill(ConvertToRoundTime(secandmin(DC19),secandmin(CJ37),DD19),DB19,DF19,DG19,DE19,DI19,DH19,$O$3)</f>
        <v>NOLOC</v>
      </c>
      <c r="FS35" s="1" t="b">
        <v>0</v>
      </c>
      <c r="FT35" s="1" t="b">
        <v>0</v>
      </c>
      <c r="FU35" s="1" t="b">
        <v>0</v>
      </c>
      <c r="FV35" s="1" t="b">
        <v>0</v>
      </c>
      <c r="FW35" s="1" t="b">
        <v>0</v>
      </c>
      <c r="FX35" s="1" t="str" cm="1">
        <f t="array" ref="FX35">DeathTraded(FU35,$O$3,DV19,$O$2,DV35,$O$3,DV51,$O$4,DV67,$O$5,DV83,$O$6,$R$2)</f>
        <v>N/A</v>
      </c>
      <c r="FY35" s="5">
        <v>13</v>
      </c>
      <c r="FZ35" s="1">
        <f t="shared" si="19"/>
        <v>0</v>
      </c>
      <c r="GA35" s="21">
        <f t="shared" si="20"/>
        <v>0</v>
      </c>
      <c r="GB35" s="1" t="str">
        <f t="shared" si="13"/>
        <v>NODATA</v>
      </c>
      <c r="GC35" s="13" t="str">
        <f t="shared" si="21"/>
        <v>NODATA</v>
      </c>
      <c r="GD35" s="1" t="str">
        <f t="shared" si="23"/>
        <v>NODATA</v>
      </c>
      <c r="GE35" s="1" t="str">
        <f t="shared" si="22"/>
        <v>NODATA</v>
      </c>
      <c r="GF35" s="1" t="str" cm="1">
        <f t="array" ref="GF35">IF($V$2=TRUE,IF(CH37="Attack",ConvertToRoundTime(secandmin(BI37),secandmin(CJ37),BJ37),""),"NO DATA")</f>
        <v/>
      </c>
      <c r="GG35" s="1" t="str" cm="1">
        <f t="array" ref="GG35">IF($V$2=TRUE,IF(CH37="Attack",ConvertToRoundTime(secandmin(BQ37),secandmin(CJ37),BR37),""),"NO DATA")</f>
        <v/>
      </c>
    </row>
    <row r="36" spans="27:189" x14ac:dyDescent="0.25">
      <c r="AB36" s="4">
        <v>12</v>
      </c>
      <c r="AC36" s="15"/>
      <c r="AD36" s="39"/>
      <c r="AE36" s="15"/>
      <c r="AF36" s="39"/>
      <c r="AG36" s="15"/>
      <c r="AH36" s="39"/>
      <c r="AI36" s="15"/>
      <c r="AJ36" s="39"/>
      <c r="AK36" s="15"/>
      <c r="AL36" s="39"/>
      <c r="AM36" s="15"/>
      <c r="AN36" s="39"/>
      <c r="AO36" s="15"/>
      <c r="AP36" s="39"/>
      <c r="AQ36" s="15"/>
      <c r="AR36" s="39"/>
      <c r="AS36" s="15"/>
      <c r="AT36" s="39"/>
      <c r="AV36" s="4">
        <v>12</v>
      </c>
      <c r="AW36" s="15"/>
      <c r="AX36" s="39"/>
      <c r="AY36" s="15"/>
      <c r="AZ36" s="39"/>
      <c r="BA36" s="15"/>
      <c r="BB36" s="4">
        <v>12</v>
      </c>
      <c r="BC36" s="46"/>
      <c r="BD36" s="1" t="b">
        <v>0</v>
      </c>
      <c r="BE36" s="44"/>
      <c r="BF36" s="1" t="b">
        <v>0</v>
      </c>
      <c r="BG36" s="37"/>
      <c r="BH36" s="4">
        <v>12</v>
      </c>
      <c r="BI36" s="46"/>
      <c r="BJ36" s="1" t="b">
        <v>0</v>
      </c>
      <c r="BK36" s="44"/>
      <c r="BL36" s="1" t="b">
        <v>0</v>
      </c>
      <c r="BM36" s="37"/>
      <c r="BN36" s="4">
        <v>12</v>
      </c>
      <c r="BO36" s="46"/>
      <c r="BP36" s="1" t="b">
        <v>0</v>
      </c>
      <c r="BQ36" s="44"/>
      <c r="BR36" s="1" t="b">
        <v>0</v>
      </c>
      <c r="BS36" s="37"/>
      <c r="BT36" s="4">
        <v>12</v>
      </c>
      <c r="BU36" s="46"/>
      <c r="BV36" s="1" t="b">
        <v>0</v>
      </c>
      <c r="BW36" s="44"/>
      <c r="BX36" s="1" t="b">
        <v>0</v>
      </c>
      <c r="BY36" s="37"/>
      <c r="BZ36" s="4">
        <v>12</v>
      </c>
      <c r="CA36" s="46"/>
      <c r="CB36" s="1" t="b">
        <v>0</v>
      </c>
      <c r="CC36" s="44"/>
      <c r="CD36" s="1" t="b">
        <v>0</v>
      </c>
      <c r="CE36" s="37"/>
      <c r="CF36" s="1" t="b">
        <v>0</v>
      </c>
      <c r="CH36" s="14"/>
      <c r="CI36" s="39"/>
      <c r="CJ36" s="46"/>
      <c r="CK36" s="44"/>
      <c r="CL36" s="15"/>
      <c r="CM36" s="44"/>
      <c r="CP36" s="15"/>
      <c r="CQ36" s="39"/>
      <c r="CR36" s="15"/>
      <c r="CS36" s="39"/>
      <c r="CT36" s="15"/>
      <c r="DP36" s="37"/>
      <c r="DQ36" s="48" t="str">
        <f ca="1">A2</f>
        <v>8_22 Skyscraper_1</v>
      </c>
      <c r="DR36" s="4">
        <v>14</v>
      </c>
      <c r="DS36" s="1" t="str">
        <v>Not Played</v>
      </c>
      <c r="DT36" s="1" t="str">
        <f t="shared" si="14"/>
        <v>Chos3n</v>
      </c>
      <c r="DU36" s="1" t="str">
        <v>Not Played</v>
      </c>
      <c r="DV36" s="21" t="b" cm="1">
        <f t="array" ref="DV36">ConvertToRoundTime(secandmin(AK20),secandmin(CJ38),AL20)</f>
        <v>0</v>
      </c>
      <c r="DW36" s="1" t="b">
        <v>0</v>
      </c>
      <c r="DX36" s="1" t="str" cm="1">
        <f t="array" ref="DX36">DeathRefragged(DV36,MAX(ES20,ES36,ES52,ES68,ES84,FA101),MAX(EZ20,EZ36,EZ52,EZ68,EZ84,FI101),MAX(FG20,FG36,FG52,FG68,FG84,FP101),MAX(FN20,FN36,FN52,FN68,FN84,FW101),MAX(FU20,FU36,FU52,FU68,FU84,GD101),$Q$2)</f>
        <v>N/A</v>
      </c>
      <c r="DY36" s="1" t="str" cm="1">
        <f t="array" ref="DY36">DeathTraded(DV36,DW36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36" s="1" t="b">
        <v>0</v>
      </c>
      <c r="EA36" s="1" t="str">
        <v>NOLOC</v>
      </c>
      <c r="EB36" s="1" t="b" cm="1">
        <f t="array" ref="EB36">OpeningDeath(MAX(ES20,ES36,ES52,ES68,ES84),DV36,DV20,DV52,DV68,DV84)</f>
        <v>0</v>
      </c>
      <c r="EC36" s="1" t="b" cm="1">
        <f t="array" ref="EC36">EntryDeath(DV36,DV20,DV52,DV68,DV84)</f>
        <v>0</v>
      </c>
      <c r="ED36" s="4">
        <v>14</v>
      </c>
      <c r="EE36" s="1">
        <f t="shared" si="12"/>
        <v>0</v>
      </c>
      <c r="EF36" s="1">
        <f t="shared" si="15"/>
        <v>0</v>
      </c>
      <c r="EG36" s="1">
        <f t="shared" si="16"/>
        <v>0</v>
      </c>
      <c r="EH36" s="1" cm="1">
        <f t="array" ref="EH36">ExitFrag(EN36,MAX(DV20,DV52,DV68,DV84),MAX(ES20,ES36,ES52,ES68,ES84,FA101),MAX(EZ20,EZ36,EZ52,EZ68,EZ84,FI101),MAX(FG20,FG36,FG52,FG68,FG84,FP101),MAX(FN20,FN36,FN52,FN68,FN84,FW101),MAX(FU20,FU36,FU52,FU68,FU84,GD101))</f>
        <v>0</v>
      </c>
      <c r="EI36" s="1" t="b" cm="1">
        <f t="array" ref="EI36">OpeningKill(ES36,ES20,ES52,ES68,ES84,FB101,DV20,DV36,DV52,DV68,DV84)</f>
        <v>0</v>
      </c>
      <c r="EJ36" s="1" t="b">
        <f t="shared" si="17"/>
        <v>0</v>
      </c>
      <c r="EK36" s="4">
        <v>14</v>
      </c>
      <c r="EL36" s="1" t="b">
        <v>0</v>
      </c>
      <c r="EM36" s="1" t="str" cm="1">
        <f t="array" ref="EM36">IF(NOT(ISBLANK(CP38)),KOST(EE36,DY36,DV36,EL36),"NOT PLAYED")</f>
        <v>NOT PLAYED</v>
      </c>
      <c r="EN36" s="1" t="b" cm="1">
        <f t="array" ref="EN36">OneVX(DV52,DV68,DV84,DV20,DV36)</f>
        <v>0</v>
      </c>
      <c r="EO36" s="1" t="b">
        <f t="shared" si="18"/>
        <v>0</v>
      </c>
      <c r="EP36" s="1" t="str" cm="1">
        <f t="array" ref="EP36:EU36">DetermineKill(ConvertToRoundTime(secandmin(BS20),secandmin(CJ38),BT20),BR20,BV20,BW20,BU20,BY20,BX20,$O$3)</f>
        <v>NOLOC</v>
      </c>
      <c r="EQ36" s="1" t="b">
        <v>0</v>
      </c>
      <c r="ER36" s="1" t="b">
        <v>0</v>
      </c>
      <c r="ES36" s="1" t="b">
        <v>0</v>
      </c>
      <c r="ET36" s="1" t="b">
        <v>0</v>
      </c>
      <c r="EU36" s="1" t="b">
        <v>0</v>
      </c>
      <c r="EV36" s="1" t="str" cm="1">
        <f t="array" ref="EV36">DeathTraded(ES36,$O$3,DV20,$O$2,DV36,$O$3,DV52,$O$4,DV68,$O$5,DV84,$O$6,$R$2)</f>
        <v>N/A</v>
      </c>
      <c r="EW36" s="1" t="str" cm="1">
        <f t="array" ref="EW36:FB36">DetermineKill(ConvertToRoundTime(secandmin(CB20),secandmin(CJ38),CC20),CA20,CE20,CF20,CD20,CH20,CG20,$O$3)</f>
        <v>NOLOC</v>
      </c>
      <c r="EX36" s="1" t="b">
        <v>0</v>
      </c>
      <c r="EY36" s="1" t="b">
        <v>0</v>
      </c>
      <c r="EZ36" s="1" t="b">
        <v>0</v>
      </c>
      <c r="FA36" s="1" t="b">
        <v>0</v>
      </c>
      <c r="FB36" s="1" t="b">
        <v>0</v>
      </c>
      <c r="FC36" s="1" t="str" cm="1">
        <f t="array" ref="FC36">DeathTraded(EZ36,$O$3,DV20,$O$2,DV36,$O$3,DV52,$O$4,DV68,$O$5,DV84,$O$6,$R$2)</f>
        <v>N/A</v>
      </c>
      <c r="FD36" s="1" t="str" cm="1">
        <f t="array" ref="FD36:FI36">DetermineKill(ConvertToRoundTime(secandmin(CK20),secandmin(CJ38),CL20),CJ20,CN20,CO20,CM20,CQ20,CP20,$O$3)</f>
        <v>NOLOC</v>
      </c>
      <c r="FE36" s="1" t="b">
        <v>0</v>
      </c>
      <c r="FF36" s="1" t="b">
        <v>0</v>
      </c>
      <c r="FG36" s="1" t="b">
        <v>0</v>
      </c>
      <c r="FH36" s="1" t="b">
        <v>0</v>
      </c>
      <c r="FI36" s="1" t="b">
        <v>0</v>
      </c>
      <c r="FJ36" s="1" t="str" cm="1">
        <f t="array" ref="FJ36">DeathTraded(FG36,$O$3,DV20,$O$2,DV36,$O$3,DV52,$O$4,DV68,$O$5,DV84,$O$6,$R$2)</f>
        <v>N/A</v>
      </c>
      <c r="FK36" s="1" t="str" cm="1">
        <f t="array" ref="FK36:FP36">DetermineKill(ConvertToRoundTime(secandmin(CT20),secandmin(CJ38),CU20),CS20,CW20,CX20,CV20,CZ20,CY20,$O$3)</f>
        <v>NOLOC</v>
      </c>
      <c r="FL36" s="1" t="b">
        <v>0</v>
      </c>
      <c r="FM36" s="1" t="b">
        <v>0</v>
      </c>
      <c r="FN36" s="1" t="b">
        <v>0</v>
      </c>
      <c r="FO36" s="1" t="b">
        <v>0</v>
      </c>
      <c r="FP36" s="1" t="b">
        <v>0</v>
      </c>
      <c r="FQ36" s="1" t="str" cm="1">
        <f t="array" ref="FQ36">DeathTraded(FN36,$O$3,DV20,$O$2,DV36,$O$3,DV52,$O$4,DV68,$O$5,DV84,$O$6,$R$2)</f>
        <v>N/A</v>
      </c>
      <c r="FR36" s="1" t="str" cm="1">
        <f t="array" ref="FR36:FW36">DetermineKill(ConvertToRoundTime(secandmin(DC20),secandmin(CJ38),DD20),DB20,DF20,DG20,DE20,DI20,DH20,$O$3)</f>
        <v>NOLOC</v>
      </c>
      <c r="FS36" s="1" t="b">
        <v>0</v>
      </c>
      <c r="FT36" s="1" t="b">
        <v>0</v>
      </c>
      <c r="FU36" s="1" t="b">
        <v>0</v>
      </c>
      <c r="FV36" s="1" t="b">
        <v>0</v>
      </c>
      <c r="FW36" s="1" t="b">
        <v>0</v>
      </c>
      <c r="FX36" s="1" t="str" cm="1">
        <f t="array" ref="FX36">DeathTraded(FU36,$O$3,DV20,$O$2,DV36,$O$3,DV52,$O$4,DV68,$O$5,DV84,$O$6,$R$2)</f>
        <v>N/A</v>
      </c>
      <c r="FY36" s="4">
        <v>14</v>
      </c>
      <c r="FZ36" s="1">
        <f t="shared" si="19"/>
        <v>0</v>
      </c>
      <c r="GA36" s="21">
        <f t="shared" si="20"/>
        <v>0</v>
      </c>
      <c r="GB36" s="1" t="str">
        <f t="shared" si="13"/>
        <v>NODATA</v>
      </c>
      <c r="GC36" s="13" t="str">
        <f t="shared" si="21"/>
        <v>NODATA</v>
      </c>
      <c r="GD36" s="1" t="str">
        <f t="shared" si="23"/>
        <v>NODATA</v>
      </c>
      <c r="GE36" s="1" t="str">
        <f t="shared" si="22"/>
        <v>NODATA</v>
      </c>
      <c r="GF36" s="1" t="str" cm="1">
        <f t="array" ref="GF36">IF($V$2=TRUE,IF(CH38="Attack",ConvertToRoundTime(secandmin(BI38),secandmin(CJ38),BJ38),""),"NO DATA")</f>
        <v/>
      </c>
      <c r="GG36" s="1" t="str" cm="1">
        <f t="array" ref="GG36">IF($V$2=TRUE,IF(CH38="Attack",ConvertToRoundTime(secandmin(BQ38),secandmin(CJ38),BR38),""),"NO DATA")</f>
        <v/>
      </c>
    </row>
    <row r="37" spans="27:189" x14ac:dyDescent="0.25">
      <c r="AB37" s="5">
        <v>13</v>
      </c>
      <c r="AC37" s="14"/>
      <c r="AD37" s="38"/>
      <c r="AE37" s="14"/>
      <c r="AF37" s="38"/>
      <c r="AG37" s="14"/>
      <c r="AH37" s="38"/>
      <c r="AI37" s="14"/>
      <c r="AJ37" s="38"/>
      <c r="AK37" s="14"/>
      <c r="AL37" s="38"/>
      <c r="AM37" s="14"/>
      <c r="AN37" s="38"/>
      <c r="AO37" s="14"/>
      <c r="AP37" s="38"/>
      <c r="AQ37" s="14"/>
      <c r="AR37" s="38"/>
      <c r="AS37" s="14"/>
      <c r="AT37" s="38"/>
      <c r="AV37" s="5">
        <v>13</v>
      </c>
      <c r="AW37" s="14"/>
      <c r="AX37" s="38"/>
      <c r="AY37" s="14"/>
      <c r="AZ37" s="38"/>
      <c r="BA37" s="14"/>
      <c r="BB37" s="5">
        <v>13</v>
      </c>
      <c r="BC37" s="45"/>
      <c r="BD37" s="1" t="b">
        <v>0</v>
      </c>
      <c r="BE37" s="43"/>
      <c r="BF37" s="1" t="b">
        <v>0</v>
      </c>
      <c r="BG37" s="37"/>
      <c r="BH37" s="5">
        <v>13</v>
      </c>
      <c r="BI37" s="45"/>
      <c r="BJ37" s="1" t="b">
        <v>0</v>
      </c>
      <c r="BK37" s="43"/>
      <c r="BL37" s="1" t="b">
        <v>0</v>
      </c>
      <c r="BM37" s="37"/>
      <c r="BN37" s="5">
        <v>13</v>
      </c>
      <c r="BO37" s="45"/>
      <c r="BP37" s="1" t="b">
        <v>0</v>
      </c>
      <c r="BQ37" s="43"/>
      <c r="BR37" s="1" t="b">
        <v>0</v>
      </c>
      <c r="BS37" s="37"/>
      <c r="BT37" s="5">
        <v>13</v>
      </c>
      <c r="BU37" s="45"/>
      <c r="BV37" s="1" t="b">
        <v>0</v>
      </c>
      <c r="BW37" s="43"/>
      <c r="BX37" s="1" t="b">
        <v>0</v>
      </c>
      <c r="BY37" s="37"/>
      <c r="BZ37" s="5">
        <v>13</v>
      </c>
      <c r="CA37" s="45"/>
      <c r="CB37" s="1" t="b">
        <v>0</v>
      </c>
      <c r="CC37" s="43"/>
      <c r="CD37" s="1" t="b">
        <v>0</v>
      </c>
      <c r="CE37" s="37"/>
      <c r="CF37" s="1" t="b">
        <v>0</v>
      </c>
      <c r="CH37" s="14"/>
      <c r="CI37" s="38"/>
      <c r="CJ37" s="45"/>
      <c r="CK37" s="43"/>
      <c r="CL37" s="14"/>
      <c r="CM37" s="43"/>
      <c r="CP37" s="14"/>
      <c r="CQ37" s="38"/>
      <c r="CR37" s="14"/>
      <c r="CS37" s="38"/>
      <c r="CT37" s="14"/>
      <c r="DP37" s="37"/>
      <c r="DQ37" s="48" t="str">
        <f ca="1">A2</f>
        <v>8_22 Skyscraper_1</v>
      </c>
      <c r="DR37" s="5">
        <v>15</v>
      </c>
      <c r="DS37" s="1" t="str">
        <v>Not Played</v>
      </c>
      <c r="DT37" s="1" t="str">
        <f t="shared" si="14"/>
        <v>Chos3n</v>
      </c>
      <c r="DU37" s="1" t="str">
        <v>Not Played</v>
      </c>
      <c r="DV37" s="21" t="b" cm="1">
        <f t="array" ref="DV37">ConvertToRoundTime(secandmin(AK21),secandmin(CJ39),AL21)</f>
        <v>0</v>
      </c>
      <c r="DW37" s="1" t="b">
        <v>0</v>
      </c>
      <c r="DX37" s="1" t="str" cm="1">
        <f t="array" ref="DX37">DeathRefragged(DV37,MAX(ES21,ES37,ES53,ES69,ES85,FA102),MAX(EZ21,EZ37,EZ53,EZ69,EZ85,FI102),MAX(FG21,FG37,FG53,FG69,FG85,FP102),MAX(FN21,FN37,FN53,FN69,FN85,FW102),MAX(FU21,FU37,FU53,FU69,FU85,GD102),$Q$2)</f>
        <v>N/A</v>
      </c>
      <c r="DY37" s="1" t="str" cm="1">
        <f t="array" ref="DY37">DeathTraded(DV37,DW37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37" s="1" t="b">
        <v>0</v>
      </c>
      <c r="EA37" s="1" t="str">
        <v>NOLOC</v>
      </c>
      <c r="EB37" s="1" t="b" cm="1">
        <f t="array" ref="EB37">OpeningDeath(MAX(ES21,ES37,ES53,ES69,ES85),DV37,DV21,DV53,DV69,DV85)</f>
        <v>0</v>
      </c>
      <c r="EC37" s="1" t="b" cm="1">
        <f t="array" ref="EC37">EntryDeath(DV37,DV21,DV53,DV69,DV85)</f>
        <v>0</v>
      </c>
      <c r="ED37" s="5">
        <v>15</v>
      </c>
      <c r="EE37" s="1">
        <f t="shared" si="12"/>
        <v>0</v>
      </c>
      <c r="EF37" s="1">
        <f t="shared" si="15"/>
        <v>0</v>
      </c>
      <c r="EG37" s="1">
        <f t="shared" si="16"/>
        <v>0</v>
      </c>
      <c r="EH37" s="1" cm="1">
        <f t="array" ref="EH37">ExitFrag(EN37,MAX(DV21,DV53,DV69,DV85),MAX(ES21,ES37,ES53,ES69,ES85,FA102),MAX(EZ21,EZ37,EZ53,EZ69,EZ85,FI102),MAX(FG21,FG37,FG53,FG69,FG85,FP102),MAX(FN21,FN37,FN53,FN69,FN85,FW102),MAX(FU21,FU37,FU53,FU69,FU85,GD102))</f>
        <v>0</v>
      </c>
      <c r="EI37" s="1" t="b" cm="1">
        <f t="array" ref="EI37">OpeningKill(ES37,ES21,ES53,ES69,ES85,FB102,DV21,DV37,DV53,DV69,DV85)</f>
        <v>0</v>
      </c>
      <c r="EJ37" s="1" t="b">
        <f t="shared" si="17"/>
        <v>0</v>
      </c>
      <c r="EK37" s="5">
        <v>15</v>
      </c>
      <c r="EL37" s="1" t="b">
        <v>0</v>
      </c>
      <c r="EM37" s="1" t="str" cm="1">
        <f t="array" ref="EM37">IF(NOT(ISBLANK(CP39)),KOST(EE37,DY37,DV37,EL37),"NOT PLAYED")</f>
        <v>NOT PLAYED</v>
      </c>
      <c r="EN37" s="1" t="b" cm="1">
        <f t="array" ref="EN37">OneVX(DV53,DV69,DV85,DV21,DV37)</f>
        <v>0</v>
      </c>
      <c r="EO37" s="1" t="b">
        <f>IF(AND(EN37=TRUE,CM39="Won"),TRUE,FALSE)</f>
        <v>0</v>
      </c>
      <c r="EP37" s="1" t="str" cm="1">
        <f t="array" ref="EP37:EU37">DetermineKill(ConvertToRoundTime(secandmin(BS21),secandmin(CJ39),BT21),BR21,BV21,BW21,BU21,BY21,BX21,$O$3)</f>
        <v>NOLOC</v>
      </c>
      <c r="EQ37" s="1" t="b">
        <v>0</v>
      </c>
      <c r="ER37" s="1" t="b">
        <v>0</v>
      </c>
      <c r="ES37" s="1" t="b">
        <v>0</v>
      </c>
      <c r="ET37" s="1" t="b">
        <v>0</v>
      </c>
      <c r="EU37" s="1" t="b">
        <v>0</v>
      </c>
      <c r="EV37" s="1" t="str" cm="1">
        <f t="array" ref="EV37">DeathTraded(ES37,$O$3,DV21,$O$2,DV37,$O$3,DV53,$O$4,DV69,$O$5,DV85,$O$6,$R$2)</f>
        <v>N/A</v>
      </c>
      <c r="EW37" s="1" t="str" cm="1">
        <f t="array" ref="EW37:FB37">DetermineKill(ConvertToRoundTime(secandmin(CB21),secandmin(CJ39),CC21),CA21,CE21,CF21,CD21,CH21,CG21,$O$3)</f>
        <v>NOLOC</v>
      </c>
      <c r="EX37" s="1" t="b">
        <v>0</v>
      </c>
      <c r="EY37" s="1" t="b">
        <v>0</v>
      </c>
      <c r="EZ37" s="1" t="b">
        <v>0</v>
      </c>
      <c r="FA37" s="1" t="b">
        <v>0</v>
      </c>
      <c r="FB37" s="1" t="b">
        <v>0</v>
      </c>
      <c r="FC37" s="1" t="str" cm="1">
        <f t="array" ref="FC37">DeathTraded(EZ37,$O$3,DV21,$O$2,DV37,$O$3,DV53,$O$4,DV69,$O$5,DV85,$O$6,$R$2)</f>
        <v>N/A</v>
      </c>
      <c r="FD37" s="1" t="str" cm="1">
        <f t="array" ref="FD37:FI37">DetermineKill(ConvertToRoundTime(secandmin(CK21),secandmin(CJ39),CL21),CJ21,CN21,CO21,CM21,CQ21,CP21,$O$3)</f>
        <v>NOLOC</v>
      </c>
      <c r="FE37" s="1" t="b">
        <v>0</v>
      </c>
      <c r="FF37" s="1" t="b">
        <v>0</v>
      </c>
      <c r="FG37" s="1" t="b">
        <v>0</v>
      </c>
      <c r="FH37" s="1" t="b">
        <v>0</v>
      </c>
      <c r="FI37" s="1" t="b">
        <v>0</v>
      </c>
      <c r="FJ37" s="1" t="str" cm="1">
        <f t="array" ref="FJ37">DeathTraded(FG37,$O$3,DV21,$O$2,DV37,$O$3,DV53,$O$4,DV69,$O$5,DV85,$O$6,$R$2)</f>
        <v>N/A</v>
      </c>
      <c r="FK37" s="1" t="str" cm="1">
        <f t="array" ref="FK37:FP37">DetermineKill(ConvertToRoundTime(secandmin(CT21),secandmin(CJ39),CU21),CS21,CW21,CX21,CV21,CZ21,CY21,$O$3)</f>
        <v>NOLOC</v>
      </c>
      <c r="FL37" s="1" t="b">
        <v>0</v>
      </c>
      <c r="FM37" s="1" t="b">
        <v>0</v>
      </c>
      <c r="FN37" s="1" t="b">
        <v>0</v>
      </c>
      <c r="FO37" s="1" t="b">
        <v>0</v>
      </c>
      <c r="FP37" s="1" t="b">
        <v>0</v>
      </c>
      <c r="FQ37" s="1" t="str" cm="1">
        <f t="array" ref="FQ37">DeathTraded(FN37,$O$3,DV21,$O$2,DV37,$O$3,DV53,$O$4,DV69,$O$5,DV85,$O$6,$R$2)</f>
        <v>N/A</v>
      </c>
      <c r="FR37" s="1" t="str" cm="1">
        <f t="array" ref="FR37:FW37">DetermineKill(ConvertToRoundTime(secandmin(DC21),secandmin(CJ39),DD21),DB21,DF21,DG21,DE21,DI21,DH21,$O$3)</f>
        <v>NOLOC</v>
      </c>
      <c r="FS37" s="1" t="b">
        <v>0</v>
      </c>
      <c r="FT37" s="1" t="b">
        <v>0</v>
      </c>
      <c r="FU37" s="1" t="b">
        <v>0</v>
      </c>
      <c r="FV37" s="1" t="b">
        <v>0</v>
      </c>
      <c r="FW37" s="1" t="b">
        <v>0</v>
      </c>
      <c r="FX37" s="1" t="str" cm="1">
        <f t="array" ref="FX37">DeathTraded(FU37,$O$3,DV21,$O$2,DV37,$O$3,DV53,$O$4,DV69,$O$5,DV85,$O$6,$R$2)</f>
        <v>N/A</v>
      </c>
      <c r="FY37" s="5">
        <v>15</v>
      </c>
      <c r="FZ37" s="1">
        <f t="shared" si="19"/>
        <v>0</v>
      </c>
      <c r="GA37" s="21">
        <f t="shared" si="20"/>
        <v>0</v>
      </c>
      <c r="GB37" s="1" t="str">
        <f t="shared" si="13"/>
        <v>NODATA</v>
      </c>
      <c r="GC37" s="13" t="str">
        <f t="shared" si="21"/>
        <v>NODATA</v>
      </c>
      <c r="GD37" s="1" t="str">
        <f t="shared" si="23"/>
        <v>NODATA</v>
      </c>
      <c r="GE37" s="1" t="str">
        <f t="shared" si="22"/>
        <v>NODATA</v>
      </c>
      <c r="GF37" s="1" t="str" cm="1">
        <f t="array" ref="GF37">IF($V$2=TRUE,IF(CH39="Attack",ConvertToRoundTime(secandmin(BI39),secandmin(CJ39),BJ39),""),"NO DATA")</f>
        <v/>
      </c>
      <c r="GG37" s="1" t="str" cm="1">
        <f t="array" ref="GG37">IF($V$2=TRUE,IF(CH39="Attack",ConvertToRoundTime(secandmin(BQ39),secandmin(CJ39),BR39),""),"NO DATA")</f>
        <v/>
      </c>
    </row>
    <row r="38" spans="27:189" x14ac:dyDescent="0.25">
      <c r="AB38" s="4">
        <v>14</v>
      </c>
      <c r="AC38" s="15"/>
      <c r="AD38" s="39"/>
      <c r="AE38" s="15"/>
      <c r="AF38" s="39"/>
      <c r="AG38" s="15"/>
      <c r="AH38" s="39"/>
      <c r="AI38" s="15"/>
      <c r="AJ38" s="39"/>
      <c r="AK38" s="15"/>
      <c r="AL38" s="39"/>
      <c r="AM38" s="15"/>
      <c r="AN38" s="39"/>
      <c r="AO38" s="15"/>
      <c r="AP38" s="39"/>
      <c r="AQ38" s="15"/>
      <c r="AR38" s="39"/>
      <c r="AS38" s="15"/>
      <c r="AT38" s="39"/>
      <c r="AV38" s="4">
        <v>14</v>
      </c>
      <c r="AW38" s="15"/>
      <c r="AX38" s="39"/>
      <c r="AY38" s="15"/>
      <c r="AZ38" s="39"/>
      <c r="BA38" s="15"/>
      <c r="BB38" s="4">
        <v>14</v>
      </c>
      <c r="BC38" s="46"/>
      <c r="BD38" s="1" t="b">
        <v>0</v>
      </c>
      <c r="BE38" s="44"/>
      <c r="BF38" s="1" t="b">
        <v>0</v>
      </c>
      <c r="BG38" s="37"/>
      <c r="BH38" s="4">
        <v>14</v>
      </c>
      <c r="BI38" s="46"/>
      <c r="BJ38" s="1" t="b">
        <v>0</v>
      </c>
      <c r="BK38" s="44"/>
      <c r="BL38" s="1" t="b">
        <v>0</v>
      </c>
      <c r="BM38" s="37"/>
      <c r="BN38" s="4">
        <v>14</v>
      </c>
      <c r="BO38" s="46"/>
      <c r="BP38" s="1" t="b">
        <v>0</v>
      </c>
      <c r="BQ38" s="44"/>
      <c r="BR38" s="1" t="b">
        <v>0</v>
      </c>
      <c r="BS38" s="37"/>
      <c r="BT38" s="4">
        <v>14</v>
      </c>
      <c r="BU38" s="46"/>
      <c r="BV38" s="1" t="b">
        <v>0</v>
      </c>
      <c r="BW38" s="44"/>
      <c r="BX38" s="1" t="b">
        <v>0</v>
      </c>
      <c r="BY38" s="37"/>
      <c r="BZ38" s="4">
        <v>14</v>
      </c>
      <c r="CA38" s="46"/>
      <c r="CB38" s="1" t="b">
        <v>0</v>
      </c>
      <c r="CC38" s="44"/>
      <c r="CD38" s="1" t="b">
        <v>0</v>
      </c>
      <c r="CE38" s="37"/>
      <c r="CF38" s="1" t="b">
        <v>0</v>
      </c>
      <c r="CH38" s="14"/>
      <c r="CI38" s="39"/>
      <c r="CJ38" s="46"/>
      <c r="CK38" s="44"/>
      <c r="CL38" s="15"/>
      <c r="CM38" s="44"/>
      <c r="CP38" s="15"/>
      <c r="CQ38" s="39"/>
      <c r="CR38" s="15"/>
      <c r="CS38" s="39"/>
      <c r="CT38" s="15"/>
      <c r="DP38" s="36" t="str">
        <f>$O$4</f>
        <v>Ozone</v>
      </c>
      <c r="DQ38" s="48" t="s">
        <v>326</v>
      </c>
      <c r="DR38" s="16" t="s">
        <v>46</v>
      </c>
      <c r="DS38" s="9" t="s">
        <v>55</v>
      </c>
      <c r="DT38" s="21" t="s">
        <v>310</v>
      </c>
      <c r="DU38" s="21" t="s">
        <v>323</v>
      </c>
      <c r="DV38" s="21" t="s">
        <v>54</v>
      </c>
      <c r="DW38" s="50" t="s">
        <v>62</v>
      </c>
      <c r="DX38" s="50" t="s">
        <v>219</v>
      </c>
      <c r="DY38" s="50" t="s">
        <v>220</v>
      </c>
      <c r="DZ38" s="50" t="s">
        <v>221</v>
      </c>
      <c r="EA38" s="50" t="s">
        <v>245</v>
      </c>
      <c r="EB38" s="50" t="s">
        <v>257</v>
      </c>
      <c r="EC38" s="50" t="s">
        <v>258</v>
      </c>
      <c r="ED38" s="51" t="s">
        <v>405</v>
      </c>
      <c r="EE38" s="50" t="s">
        <v>9</v>
      </c>
      <c r="EF38" s="50" t="s">
        <v>222</v>
      </c>
      <c r="EG38" s="50" t="s">
        <v>223</v>
      </c>
      <c r="EH38" s="50" t="s">
        <v>246</v>
      </c>
      <c r="EI38" s="50" t="s">
        <v>259</v>
      </c>
      <c r="EJ38" s="50" t="s">
        <v>260</v>
      </c>
      <c r="EK38" s="51" t="s">
        <v>406</v>
      </c>
      <c r="EL38" s="21" t="s">
        <v>324</v>
      </c>
      <c r="EM38" s="50" t="s">
        <v>33</v>
      </c>
      <c r="EN38" s="50" t="s">
        <v>66</v>
      </c>
      <c r="EO38" s="21" t="s">
        <v>35</v>
      </c>
      <c r="EP38" s="13" t="s">
        <v>60</v>
      </c>
      <c r="EQ38" s="13" t="s">
        <v>340</v>
      </c>
      <c r="ER38" s="13" t="s">
        <v>311</v>
      </c>
      <c r="ES38" s="13" t="s">
        <v>312</v>
      </c>
      <c r="ET38" s="13" t="s">
        <v>41</v>
      </c>
      <c r="EU38" s="13" t="s">
        <v>338</v>
      </c>
      <c r="EV38" s="13" t="s">
        <v>339</v>
      </c>
      <c r="EW38" s="21" t="s">
        <v>61</v>
      </c>
      <c r="EX38" s="21" t="s">
        <v>423</v>
      </c>
      <c r="EY38" s="21" t="s">
        <v>313</v>
      </c>
      <c r="EZ38" s="21" t="s">
        <v>314</v>
      </c>
      <c r="FA38" s="21" t="s">
        <v>422</v>
      </c>
      <c r="FB38" s="21" t="s">
        <v>421</v>
      </c>
      <c r="FC38" s="21" t="s">
        <v>420</v>
      </c>
      <c r="FD38" s="13" t="s">
        <v>63</v>
      </c>
      <c r="FE38" s="13" t="s">
        <v>419</v>
      </c>
      <c r="FF38" s="13" t="s">
        <v>315</v>
      </c>
      <c r="FG38" s="13" t="s">
        <v>316</v>
      </c>
      <c r="FH38" s="13" t="s">
        <v>418</v>
      </c>
      <c r="FI38" s="13" t="s">
        <v>417</v>
      </c>
      <c r="FJ38" s="13" t="s">
        <v>416</v>
      </c>
      <c r="FK38" s="21" t="s">
        <v>64</v>
      </c>
      <c r="FL38" s="21" t="s">
        <v>415</v>
      </c>
      <c r="FM38" s="21" t="s">
        <v>317</v>
      </c>
      <c r="FN38" s="21" t="s">
        <v>318</v>
      </c>
      <c r="FO38" s="21" t="s">
        <v>414</v>
      </c>
      <c r="FP38" s="21" t="s">
        <v>413</v>
      </c>
      <c r="FQ38" s="21" t="s">
        <v>412</v>
      </c>
      <c r="FR38" s="13" t="s">
        <v>65</v>
      </c>
      <c r="FS38" s="13" t="s">
        <v>411</v>
      </c>
      <c r="FT38" s="13" t="s">
        <v>319</v>
      </c>
      <c r="FU38" s="13" t="s">
        <v>320</v>
      </c>
      <c r="FV38" s="13" t="s">
        <v>409</v>
      </c>
      <c r="FW38" s="13" t="s">
        <v>408</v>
      </c>
      <c r="FX38" s="13" t="s">
        <v>410</v>
      </c>
      <c r="FY38" s="16" t="s">
        <v>407</v>
      </c>
      <c r="FZ38" s="21" t="s">
        <v>249</v>
      </c>
      <c r="GA38" s="21" t="s">
        <v>250</v>
      </c>
      <c r="GB38" s="21" t="s">
        <v>58</v>
      </c>
      <c r="GC38" s="21" t="s">
        <v>57</v>
      </c>
      <c r="GD38" s="21" t="s">
        <v>42</v>
      </c>
      <c r="GE38" s="21" t="s">
        <v>43</v>
      </c>
      <c r="GF38" s="21" t="s">
        <v>247</v>
      </c>
      <c r="GG38" s="21" t="s">
        <v>248</v>
      </c>
    </row>
    <row r="39" spans="27:189" x14ac:dyDescent="0.25">
      <c r="AB39" s="5">
        <v>15</v>
      </c>
      <c r="AC39" s="14"/>
      <c r="AD39" s="38"/>
      <c r="AE39" s="14"/>
      <c r="AF39" s="38"/>
      <c r="AG39" s="14"/>
      <c r="AH39" s="38"/>
      <c r="AI39" s="14"/>
      <c r="AJ39" s="38"/>
      <c r="AK39" s="14"/>
      <c r="AL39" s="38"/>
      <c r="AM39" s="14"/>
      <c r="AN39" s="38"/>
      <c r="AO39" s="14"/>
      <c r="AP39" s="38"/>
      <c r="AQ39" s="14"/>
      <c r="AR39" s="38"/>
      <c r="AS39" s="14"/>
      <c r="AT39" s="38"/>
      <c r="AV39" s="5">
        <v>15</v>
      </c>
      <c r="AW39" s="14"/>
      <c r="AX39" s="38"/>
      <c r="AY39" s="14"/>
      <c r="AZ39" s="38"/>
      <c r="BA39" s="14"/>
      <c r="BB39" s="5">
        <v>15</v>
      </c>
      <c r="BC39" s="45"/>
      <c r="BD39" s="1" t="b">
        <v>0</v>
      </c>
      <c r="BE39" s="43"/>
      <c r="BF39" s="1" t="b">
        <v>0</v>
      </c>
      <c r="BG39" s="37"/>
      <c r="BH39" s="5">
        <v>15</v>
      </c>
      <c r="BI39" s="45"/>
      <c r="BJ39" s="1" t="b">
        <v>0</v>
      </c>
      <c r="BK39" s="43"/>
      <c r="BL39" s="1" t="b">
        <v>0</v>
      </c>
      <c r="BM39" s="37"/>
      <c r="BN39" s="5">
        <v>15</v>
      </c>
      <c r="BO39" s="45"/>
      <c r="BP39" s="1" t="b">
        <v>0</v>
      </c>
      <c r="BQ39" s="43"/>
      <c r="BR39" s="1" t="b">
        <v>0</v>
      </c>
      <c r="BS39" s="37"/>
      <c r="BT39" s="5">
        <v>15</v>
      </c>
      <c r="BU39" s="45"/>
      <c r="BV39" s="1" t="b">
        <v>0</v>
      </c>
      <c r="BW39" s="43"/>
      <c r="BX39" s="1" t="b">
        <v>0</v>
      </c>
      <c r="BY39" s="37"/>
      <c r="BZ39" s="5">
        <v>15</v>
      </c>
      <c r="CA39" s="45"/>
      <c r="CB39" s="1" t="b">
        <v>0</v>
      </c>
      <c r="CC39" s="43"/>
      <c r="CD39" s="1" t="b">
        <v>0</v>
      </c>
      <c r="CE39" s="37"/>
      <c r="CF39" s="1" t="b">
        <v>0</v>
      </c>
      <c r="CH39" s="14"/>
      <c r="CI39" s="38"/>
      <c r="CJ39" s="45"/>
      <c r="CK39" s="43"/>
      <c r="CL39" s="14"/>
      <c r="CM39" s="43"/>
      <c r="CP39" s="14"/>
      <c r="CQ39" s="38"/>
      <c r="CR39" s="14"/>
      <c r="CS39" s="38"/>
      <c r="CT39" s="14"/>
      <c r="DP39" s="37"/>
      <c r="DQ39" s="48" t="str">
        <f ca="1">A2</f>
        <v>8_22 Skyscraper_1</v>
      </c>
      <c r="DR39" s="5">
        <v>1</v>
      </c>
      <c r="DS39" s="1" t="str" cm="1">
        <f t="array" ref="DS39:DS53">IF($CH$25:$CH$39=0,"Not Played", $CH$25:$CH$39)</f>
        <v>Attack</v>
      </c>
      <c r="DT39" s="1" t="str">
        <f>$O$4</f>
        <v>Ozone</v>
      </c>
      <c r="DU39" s="1" t="str" cm="1">
        <f t="array" ref="DU39:DU53">IF($CR$25:$CR39=0,"Not Played",$CR$25:$CR39)</f>
        <v>Finka</v>
      </c>
      <c r="DV39" s="21" t="b" cm="1">
        <f t="array" ref="DV39">ConvertToRoundTime(secandmin(AS7),secandmin(CJ25),AT7)</f>
        <v>0</v>
      </c>
      <c r="DW39" s="1" t="b" cm="1">
        <f t="array" ref="DW39:DW53">IF($AU$7:$AU$21=0,FALSE,$AU$7:$AU$21)</f>
        <v>0</v>
      </c>
      <c r="DX39" s="1" t="str" cm="1">
        <f t="array" ref="DX39">DeathRefragged(DV39,MAX(ES7,ES23,ES39,ES55,ES71,FA88),MAX(EZ7,EZ23,EZ39,EZ55,EZ71,FI88),MAX(FG7,FG23,FG39,FG55,FG71,FP88),MAX(FN7,FN23,FN39,FN55,FN71,FW88),MAX(FU7,FU23,FU39,FU55,FU71,GD88),$Q$2)</f>
        <v>N/A</v>
      </c>
      <c r="DY39" s="1" t="str" cm="1">
        <f t="array" ref="DY39">DeathTraded(DV39,DW39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39" s="1" t="b" cm="1">
        <f t="array" ref="DZ39:DZ53">IF($AW$7:$AW$21=0,FALSE,$AW$7:$AW21)</f>
        <v>0</v>
      </c>
      <c r="EA39" s="1" t="str" cm="1">
        <f t="array" ref="EA39:EA53">IF($AV$7:$AV$21=0,"NOLOC",$AV$7:$AV$21)</f>
        <v>NOLOC</v>
      </c>
      <c r="EB39" s="1" t="b" cm="1">
        <f t="array" ref="EB39">OpeningDeath(MAX(ES7,ES23,ES39,ES55,ES71),DV39,DV7,DV23,DV55,DV71)</f>
        <v>0</v>
      </c>
      <c r="EC39" s="1" t="b" cm="1">
        <f t="array" ref="EC39">EntryDeath(DV39,DV23,DV7,DV55,DV71)</f>
        <v>0</v>
      </c>
      <c r="ED39" s="5">
        <v>1</v>
      </c>
      <c r="EE39" s="1">
        <f t="shared" ref="EE39:EE53" si="24">SUM(IF(ES39=FALSE,0,1),IF(EZ39=FALSE,0,1),IF(FG39=FALSE,0,1),IF(FN39=FALSE,0,1),IF(FU39=FALSE,0,1))</f>
        <v>0</v>
      </c>
      <c r="EF39" s="1">
        <f>SUM(IF(EU39=TRUE,1,0),IF(FI39=TRUE,1,0),IF(FP39=TRUE,1,0),IF(FW39=TRUE,1,0),IF(FB39=TRUE,1,0))</f>
        <v>0</v>
      </c>
      <c r="EG39" s="1">
        <f>SUM(IF(EQ39=TRUE,1,0),IF(FE39=TRUE,1,0),IF(FL39=TRUE,1,0),IF(FS39=TRUE,1,0),IF(EX39=TRUE,1,0))</f>
        <v>0</v>
      </c>
      <c r="EH39" s="1" cm="1">
        <f t="array" ref="EH39">ExitFrag(EN39,MAX(DV7,DV23,DV55,DV71),MAX(ES7,ES23,ES39,ES55,ES71,FA88),MAX(EZ7,EZ23,EZ39,EZ55,EZ71,FI88),MAX(FG7,FG23,FG39,FG55,FG71,FP88),MAX(FN7,FN23,FN39,FN55,FN71,FW88),MAX(FU7,FU23,FU39,FU55,FU71,GD88))</f>
        <v>0</v>
      </c>
      <c r="EI39" s="1" t="b" cm="1">
        <f t="array" ref="EI39">OpeningKill(ES39,ES23,ES7,ES55,ES71,FB88,DV7,DV23,DV39,DV55,DV71)</f>
        <v>0</v>
      </c>
      <c r="EJ39" s="1" t="b">
        <f>IF(ES39=FALSE,FALSE,TRUE)</f>
        <v>0</v>
      </c>
      <c r="EK39" s="5">
        <v>1</v>
      </c>
      <c r="EL39" s="1" t="b" cm="1">
        <f t="array" ref="EL39:EL53">IF($AX$7:$AX$21=0,FALSE,$AX$7:$AX21)</f>
        <v>0</v>
      </c>
      <c r="EM39" s="1" t="b" cm="1">
        <f t="array" ref="EM39">IF(NOT(ISBLANK(CP25)),KOST(EE39,DY39,DV39,EL39),"NOT PLAYED")</f>
        <v>1</v>
      </c>
      <c r="EN39" s="1" t="b" cm="1">
        <f t="array" ref="EN39">OneVX(DV55,DV71,DV7,DV23,DV39)</f>
        <v>0</v>
      </c>
      <c r="EO39" s="1" t="b">
        <f>IF(AND(EN39=TRUE,CM25="Won"),TRUE,FALSE)</f>
        <v>0</v>
      </c>
      <c r="EP39" s="1" t="str" cm="1">
        <f t="array" ref="EP39:EU39">DetermineKill(ConvertToRoundTime(secandmin(BS7),secandmin(CJ25),BT7),BR7,BV7,BW7,BU7,BY7,BX7,$O$4)</f>
        <v>NOLOC</v>
      </c>
      <c r="EQ39" s="1" t="b">
        <v>0</v>
      </c>
      <c r="ER39" s="1" t="b">
        <v>0</v>
      </c>
      <c r="ES39" s="1" t="b">
        <v>0</v>
      </c>
      <c r="ET39" s="1" t="b">
        <v>0</v>
      </c>
      <c r="EU39" s="1" t="b">
        <v>0</v>
      </c>
      <c r="EV39" s="1" t="str" cm="1">
        <f t="array" ref="EV39">DeathTraded(ES39,$O$4,DV7,$O$2,DV23,$O$3,DV39,$O$4,DV55,$O$5,DV71,$O$6,$R$2)</f>
        <v>N/A</v>
      </c>
      <c r="EW39" s="1" t="str" cm="1">
        <f t="array" ref="EW39:FB39">DetermineKill(ConvertToRoundTime(secandmin(CB7),secandmin(CJ25),CC7),CA7,CE7,CF7,CD7,CH7,CG7,$O$4)</f>
        <v>NOLOC</v>
      </c>
      <c r="EX39" s="1" t="b">
        <v>0</v>
      </c>
      <c r="EY39" s="1" t="b">
        <v>0</v>
      </c>
      <c r="EZ39" s="1" t="b">
        <v>0</v>
      </c>
      <c r="FA39" s="1" t="b">
        <v>0</v>
      </c>
      <c r="FB39" s="1" t="b">
        <v>0</v>
      </c>
      <c r="FC39" s="1" t="str" cm="1">
        <f t="array" ref="FC39">DeathTraded(EZ39,$O$4,DV7,$O$2,DV23,$O$3,DV39,$O$4,DV55,$O$5,DV71,$O$6,$R$2)</f>
        <v>N/A</v>
      </c>
      <c r="FD39" s="1" t="str" cm="1">
        <f t="array" ref="FD39:FI39">DetermineKill(ConvertToRoundTime(secandmin(CK7),secandmin(CJ25),CL7),CJ7,CN7,CO7,CM7,CQ7,CP7,$O$4)</f>
        <v>NOLOC</v>
      </c>
      <c r="FE39" s="1" t="b">
        <v>0</v>
      </c>
      <c r="FF39" s="1" t="b">
        <v>0</v>
      </c>
      <c r="FG39" s="1" t="b">
        <v>0</v>
      </c>
      <c r="FH39" s="1" t="b">
        <v>0</v>
      </c>
      <c r="FI39" s="1" t="b">
        <v>0</v>
      </c>
      <c r="FJ39" s="1" t="str" cm="1">
        <f t="array" ref="FJ39">DeathTraded(FG39,$O$4,DV7,$O$2,DV23,$O$3,DV39,$O$4,DV55,$O$5,DV71,$O$6,$R$2)</f>
        <v>N/A</v>
      </c>
      <c r="FK39" s="1" t="str" cm="1">
        <f t="array" ref="FK39:FP39">DetermineKill(ConvertToRoundTime(secandmin(CT7),secandmin(CJ25),CU7),CS7,CW7,CX7,CV7,CZ7,CY7,$O$4)</f>
        <v>NOLOC</v>
      </c>
      <c r="FL39" s="1" t="b">
        <v>0</v>
      </c>
      <c r="FM39" s="1" t="b">
        <v>0</v>
      </c>
      <c r="FN39" s="1" t="b">
        <v>0</v>
      </c>
      <c r="FO39" s="1" t="b">
        <v>0</v>
      </c>
      <c r="FP39" s="1" t="b">
        <v>0</v>
      </c>
      <c r="FQ39" s="1" t="str" cm="1">
        <f t="array" ref="FQ39">DeathTraded(FN39,$O$4,DV7,$O$2,DV23,$O$3,DV39,$O$4,DV55,$O$5,DV71,$O$6,$R$2)</f>
        <v>N/A</v>
      </c>
      <c r="FR39" s="1" t="str" cm="1">
        <f t="array" ref="FR39:FW39">DetermineKill(ConvertToRoundTime(secandmin(DC7),secandmin(CJ25),DD7),DB7,DF7,DG7,DE7,DI7,DH7,$O$4)</f>
        <v>NOLOC</v>
      </c>
      <c r="FS39" s="1" t="b">
        <v>0</v>
      </c>
      <c r="FT39" s="1" t="b">
        <v>0</v>
      </c>
      <c r="FU39" s="1" t="b">
        <v>0</v>
      </c>
      <c r="FV39" s="1" t="b">
        <v>0</v>
      </c>
      <c r="FW39" s="1" t="b">
        <v>0</v>
      </c>
      <c r="FX39" s="1" t="str" cm="1">
        <f t="array" ref="FX39">DeathTraded(FU39,$O$4,DV7,$O$2,DV23,$O$3,DV39,$O$4,DV55,$O$5,DV71,$O$6,$R$2)</f>
        <v>N/A</v>
      </c>
      <c r="FY39" s="5">
        <v>1</v>
      </c>
      <c r="FZ39" s="1">
        <f>IF($U$2=TRUE,SUM(FV39,FO39,FH39,FA39,ET39),"NO DATA")</f>
        <v>0</v>
      </c>
      <c r="GA39" s="21">
        <f>IF($U$2=TRUE,SUM(IF(CP25=$O$4,1,0),IF(CQ25=$O$4,1,0),IF(CR25=$O$4,1,0),IF(CS25=$O$4,1,0),IF(CT25=$O$4,1,0)),"NO DATA")</f>
        <v>0</v>
      </c>
      <c r="GB39" s="1" t="str">
        <f t="shared" ref="GB39:GB53" si="25">IF($T$2=TRUE,IF(AND(ISBLANK(AM25),CH25="Defence"),0,IF(NOT(CH25="Defence"),"",AM25)),"NODATA")</f>
        <v>NODATA</v>
      </c>
      <c r="GC39" s="13" t="str">
        <f>IF($T$2=TRUE,IF(AND(ISBLANK(AR25),CH25="Defence"),0,IF(NOT(CH25="Defence"),"",AR25)),"NODATA")</f>
        <v>NODATA</v>
      </c>
      <c r="GD39" s="1" t="str">
        <f>IF($T$2=TRUE,IF(AND(ISBLANK(AF25),CH25="Attack"),FALSE,IF(NOT(CH25="Attack"),"",AF25)),"NODATA")</f>
        <v>NODATA</v>
      </c>
      <c r="GE39" s="1" t="str">
        <f>IF($T$2=TRUE,IF(AND(ISBLANK(AE42),CH25="Attack"),2,IF(NOT(CH25="Attack"),"",AE42)),"NODATA")</f>
        <v>NODATA</v>
      </c>
      <c r="GF39" s="1" t="b" cm="1">
        <f t="array" ref="GF39">IF($V$2=TRUE,IF(CH25="Attack",ConvertToRoundTime(secandmin(BO25),secandmin(CJ25),BP25),""),"NO DATA")</f>
        <v>0</v>
      </c>
      <c r="GG39" s="1" t="b" cm="1">
        <f t="array" ref="GG39">IF($V$2=TRUE,IF(CH25="Attack",ConvertToRoundTime(secandmin(BQ25),secandmin(CJ25),BR25),""),"NO DATA")</f>
        <v>0</v>
      </c>
    </row>
    <row r="40" spans="27:189" x14ac:dyDescent="0.25">
      <c r="DP40" s="37"/>
      <c r="DQ40" s="48" t="str">
        <f ca="1">A2</f>
        <v>8_22 Skyscraper_1</v>
      </c>
      <c r="DR40" s="4">
        <v>2</v>
      </c>
      <c r="DS40" s="1" t="str">
        <v>Attack</v>
      </c>
      <c r="DT40" s="1" t="str">
        <f t="shared" ref="DT40:DT53" si="26">$O$4</f>
        <v>Ozone</v>
      </c>
      <c r="DU40" s="1" t="str">
        <v>Finka</v>
      </c>
      <c r="DV40" s="21" t="b" cm="1">
        <f t="array" ref="DV40">ConvertToRoundTime(secandmin(AS8),secandmin(CJ26),AT8)</f>
        <v>0</v>
      </c>
      <c r="DW40" s="1" t="b">
        <v>0</v>
      </c>
      <c r="DX40" s="1" t="str" cm="1">
        <f t="array" ref="DX40">DeathRefragged(DV40,MAX(ES8,ES24,ES40,ES56,ES72,FA89),MAX(EZ8,EZ24,EZ40,EZ56,EZ72,FI89),MAX(FG8,FG24,FG40,FG56,FG72,FP89),MAX(FN8,FN24,FN40,FN56,FN72,FW89),MAX(FU8,FU24,FU40,FU56,FU72,GD89),$Q$2)</f>
        <v>N/A</v>
      </c>
      <c r="DY40" s="1" t="str" cm="1">
        <f t="array" ref="DY40">DeathTraded(DV40,DW40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40" s="1" t="b">
        <v>0</v>
      </c>
      <c r="EA40" s="1" t="str">
        <v>NOLOC</v>
      </c>
      <c r="EB40" s="1" t="b" cm="1">
        <f t="array" ref="EB40">OpeningDeath(MAX(ES8,ES24,ES40,ES56,ES72),DV40,DV8,DV24,DV56,DV72)</f>
        <v>0</v>
      </c>
      <c r="EC40" s="1" t="b" cm="1">
        <f t="array" ref="EC40">EntryDeath(DV40,DV24,DV8,DV56,DV72)</f>
        <v>0</v>
      </c>
      <c r="ED40" s="4">
        <v>2</v>
      </c>
      <c r="EE40" s="1">
        <f t="shared" si="24"/>
        <v>0</v>
      </c>
      <c r="EF40" s="1">
        <f t="shared" ref="EF40:EF53" si="27">SUM(IF(EU40=TRUE,1,0),IF(FI40=TRUE,1,0),IF(FP40=TRUE,1,0),IF(FW40=TRUE,1,0),IF(FB40=TRUE,1,0))</f>
        <v>0</v>
      </c>
      <c r="EG40" s="1">
        <f t="shared" ref="EG40:EG53" si="28">SUM(IF(EQ40=TRUE,1,0),IF(FE40=TRUE,1,0),IF(FL40=TRUE,1,0),IF(FS40=TRUE,1,0),IF(EX40=TRUE,1,0))</f>
        <v>0</v>
      </c>
      <c r="EH40" s="1" cm="1">
        <f t="array" ref="EH40">ExitFrag(EN40,MAX(DV8,DV24,DV56,DV72),MAX(ES8,ES24,ES40,ES56,ES72,FA89),MAX(EZ8,EZ24,EZ40,EZ56,EZ72,FI89),MAX(FG8,FG24,FG40,FG56,FG72,FP89),MAX(FN8,FN24,FN40,FN56,FN72,FW89),MAX(FU8,FU24,FU40,FU56,FU72,GD89))</f>
        <v>0</v>
      </c>
      <c r="EI40" s="1" t="b" cm="1">
        <f t="array" ref="EI40">OpeningKill(ES40,ES24,ES8,ES56,ES72,FB89,DV8,DV24,DV40,DV56,DV72)</f>
        <v>0</v>
      </c>
      <c r="EJ40" s="1" t="b">
        <f t="shared" ref="EJ40:EJ53" si="29">IF(ES40=FALSE,FALSE,TRUE)</f>
        <v>0</v>
      </c>
      <c r="EK40" s="4">
        <v>2</v>
      </c>
      <c r="EL40" s="1" t="b">
        <v>0</v>
      </c>
      <c r="EM40" s="1" t="b" cm="1">
        <f t="array" ref="EM40">IF(NOT(ISBLANK(CP26)),KOST(EE40,DY40,DV40,EL40),"NOT PLAYED")</f>
        <v>1</v>
      </c>
      <c r="EN40" s="1" t="b" cm="1">
        <f t="array" ref="EN40">OneVX(DV56,DV72,DV8,DV24,DV40)</f>
        <v>0</v>
      </c>
      <c r="EO40" s="1" t="b">
        <f t="shared" ref="EO40:EO53" si="30">IF(AND(EN40=TRUE,CM26="Won"),TRUE,FALSE)</f>
        <v>0</v>
      </c>
      <c r="EP40" s="1" t="str" cm="1">
        <f t="array" ref="EP40:EU40">DetermineKill(ConvertToRoundTime(secandmin(BS8),secandmin(CJ26),BT8),BR8,BV8,BW8,BU8,BY8,BX8,$O$4)</f>
        <v>NOLOC</v>
      </c>
      <c r="EQ40" s="1" t="b">
        <v>0</v>
      </c>
      <c r="ER40" s="1" t="b">
        <v>0</v>
      </c>
      <c r="ES40" s="1" t="b">
        <v>0</v>
      </c>
      <c r="ET40" s="1" t="b">
        <v>0</v>
      </c>
      <c r="EU40" s="1" t="b">
        <v>0</v>
      </c>
      <c r="EV40" s="1" t="str" cm="1">
        <f t="array" ref="EV40">DeathTraded(ES40,$O$4,DV8,$O$2,DV24,$O$3,DV40,$O$4,DV56,$O$5,DV72,$O$6,$R$2)</f>
        <v>N/A</v>
      </c>
      <c r="EW40" s="1" t="str" cm="1">
        <f t="array" ref="EW40:FB40">DetermineKill(ConvertToRoundTime(secandmin(CB8),secandmin(CJ26),CC8),CA8,CE8,CF8,CD8,CH8,CG8,$O$4)</f>
        <v>NOLOC</v>
      </c>
      <c r="EX40" s="1" t="b">
        <v>0</v>
      </c>
      <c r="EY40" s="1" t="b">
        <v>0</v>
      </c>
      <c r="EZ40" s="1" t="b">
        <v>0</v>
      </c>
      <c r="FA40" s="1" t="b">
        <v>0</v>
      </c>
      <c r="FB40" s="1" t="b">
        <v>0</v>
      </c>
      <c r="FC40" s="1" t="str" cm="1">
        <f t="array" ref="FC40">DeathTraded(EZ40,$O$4,DV8,$O$2,DV24,$O$3,DV40,$O$4,DV56,$O$5,DV72,$O$6,$R$2)</f>
        <v>N/A</v>
      </c>
      <c r="FD40" s="1" t="str" cm="1">
        <f t="array" ref="FD40:FI40">DetermineKill(ConvertToRoundTime(secandmin(CK8),secandmin(CJ26),CL8),CJ8,CN8,CO8,CM8,CQ8,CP8,$O$4)</f>
        <v>NOLOC</v>
      </c>
      <c r="FE40" s="1" t="b">
        <v>0</v>
      </c>
      <c r="FF40" s="1" t="b">
        <v>0</v>
      </c>
      <c r="FG40" s="1" t="b">
        <v>0</v>
      </c>
      <c r="FH40" s="1" t="b">
        <v>0</v>
      </c>
      <c r="FI40" s="1" t="b">
        <v>0</v>
      </c>
      <c r="FJ40" s="1" t="str" cm="1">
        <f t="array" ref="FJ40">DeathTraded(FG40,$O$4,DV8,$O$2,DV24,$O$3,DV40,$O$4,DV56,$O$5,DV72,$O$6,$R$2)</f>
        <v>N/A</v>
      </c>
      <c r="FK40" s="1" t="str" cm="1">
        <f t="array" ref="FK40:FP40">DetermineKill(ConvertToRoundTime(secandmin(CT8),secandmin(CJ26),CU8),CS8,CW8,CX8,CV8,CZ8,CY8,$O$4)</f>
        <v>NOLOC</v>
      </c>
      <c r="FL40" s="1" t="b">
        <v>0</v>
      </c>
      <c r="FM40" s="1" t="b">
        <v>0</v>
      </c>
      <c r="FN40" s="1" t="b">
        <v>0</v>
      </c>
      <c r="FO40" s="1" t="b">
        <v>0</v>
      </c>
      <c r="FP40" s="1" t="b">
        <v>0</v>
      </c>
      <c r="FQ40" s="1" t="str" cm="1">
        <f t="array" ref="FQ40">DeathTraded(FN40,$O$4,DV8,$O$2,DV24,$O$3,DV40,$O$4,DV56,$O$5,DV72,$O$6,$R$2)</f>
        <v>N/A</v>
      </c>
      <c r="FR40" s="1" t="str" cm="1">
        <f t="array" ref="FR40:FW40">DetermineKill(ConvertToRoundTime(secandmin(DC8),secandmin(CJ26),DD8),DB8,DF8,DG8,DE8,DI8,DH8,$O$4)</f>
        <v>NOLOC</v>
      </c>
      <c r="FS40" s="1" t="b">
        <v>0</v>
      </c>
      <c r="FT40" s="1" t="b">
        <v>0</v>
      </c>
      <c r="FU40" s="1" t="b">
        <v>0</v>
      </c>
      <c r="FV40" s="1" t="b">
        <v>0</v>
      </c>
      <c r="FW40" s="1" t="b">
        <v>0</v>
      </c>
      <c r="FX40" s="1" t="str" cm="1">
        <f t="array" ref="FX40">DeathTraded(FU40,$O$4,DV8,$O$2,DV24,$O$3,DV40,$O$4,DV56,$O$5,DV72,$O$6,$R$2)</f>
        <v>N/A</v>
      </c>
      <c r="FY40" s="4">
        <v>2</v>
      </c>
      <c r="FZ40" s="1">
        <f t="shared" ref="FZ40:FZ53" si="31">IF($U$2=TRUE,SUM(FV40,FO40,FH40,FA40,ET40),"NO DATA")</f>
        <v>0</v>
      </c>
      <c r="GA40" s="21">
        <f t="shared" ref="GA40:GA53" si="32">IF($U$2=TRUE,SUM(IF(CP26=$O$4,1,0),IF(CQ26=$O$4,1,0),IF(CR26=$O$4,1,0),IF(CS26=$O$4,1,0),IF(CT26=$O$4,1,0)),"NO DATA")</f>
        <v>0</v>
      </c>
      <c r="GB40" s="1" t="str">
        <f t="shared" si="25"/>
        <v>NODATA</v>
      </c>
      <c r="GC40" s="13" t="str">
        <f t="shared" ref="GC40:GC53" si="33">IF($T$2=TRUE,IF(AND(ISBLANK(AR26),CH26="Defence"),0,IF(NOT(CH26="Defence"),"",AR26)),"NODATA")</f>
        <v>NODATA</v>
      </c>
      <c r="GD40" s="1" t="str">
        <f t="shared" ref="GD40:GD53" si="34">IF($T$2=TRUE,IF(AND(ISBLANK(AF26),CH26="Attack"),FALSE,IF(NOT(CH26="Attack"),"",AF26)),"NODATA")</f>
        <v>NODATA</v>
      </c>
      <c r="GE40" s="1" t="str">
        <f t="shared" ref="GE40:GE53" si="35">IF($T$2=TRUE,IF(AND(ISBLANK(AE43),CH26="Attack"),2,IF(NOT(CH26="Attack"),"",AE43)),"NODATA")</f>
        <v>NODATA</v>
      </c>
      <c r="GF40" s="1" t="b" cm="1">
        <f t="array" ref="GF40">IF($V$2=TRUE,IF(CH26="Attack",ConvertToRoundTime(secandmin(BO26),secandmin(CJ26),BP26),""),"NO DATA")</f>
        <v>0</v>
      </c>
      <c r="GG40" s="1" t="b" cm="1">
        <f t="array" ref="GG40">IF($V$2=TRUE,IF(CH26="Attack",ConvertToRoundTime(secandmin(BQ26),secandmin(CJ26),BR26),""),"NO DATA")</f>
        <v>0</v>
      </c>
    </row>
    <row r="41" spans="27:189" x14ac:dyDescent="0.25">
      <c r="AA41" s="36" t="s">
        <v>43</v>
      </c>
      <c r="AB41" s="16" t="s">
        <v>46</v>
      </c>
      <c r="AC41" s="5" t="s">
        <v>343</v>
      </c>
      <c r="AD41" s="5" t="s">
        <v>344</v>
      </c>
      <c r="AE41" s="5" t="s">
        <v>345</v>
      </c>
      <c r="AF41" s="5" t="s">
        <v>346</v>
      </c>
      <c r="AG41" s="5" t="s">
        <v>347</v>
      </c>
      <c r="DP41" s="37"/>
      <c r="DQ41" s="48" t="str">
        <f ca="1">A2</f>
        <v>8_22 Skyscraper_1</v>
      </c>
      <c r="DR41" s="5">
        <v>3</v>
      </c>
      <c r="DS41" s="1" t="str">
        <v>Attack</v>
      </c>
      <c r="DT41" s="1" t="str">
        <f t="shared" si="26"/>
        <v>Ozone</v>
      </c>
      <c r="DU41" s="1" t="str">
        <v>Finka</v>
      </c>
      <c r="DV41" s="21" cm="1">
        <f t="array" ref="DV41">ConvertToRoundTime(secandmin(AS9),secandmin(CJ27),AT9)</f>
        <v>99</v>
      </c>
      <c r="DW41" s="1" t="str">
        <v>Floofs</v>
      </c>
      <c r="DX41" s="1" t="b" cm="1">
        <f t="array" ref="DX41">DeathRefragged(DV41,MAX(ES9,ES25,ES41,ES57,ES73,FA90),MAX(EZ9,EZ25,EZ41,EZ57,EZ73,FI90),MAX(FG9,FG25,FG41,FG57,FG73,FP90),MAX(FN9,FN25,FN41,FN57,FN73,FW90),MAX(FU9,FU25,FU41,FU57,FU73,GD90),$Q$2)</f>
        <v>0</v>
      </c>
      <c r="DY41" s="1" t="b" cm="1">
        <f t="array" ref="DY41">DeathTraded(DV41,DW41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0</v>
      </c>
      <c r="DZ41" s="1" t="b">
        <v>0</v>
      </c>
      <c r="EA41" s="1" t="str">
        <v>NOLOC</v>
      </c>
      <c r="EB41" s="1" t="b" cm="1">
        <f t="array" ref="EB41">OpeningDeath(MAX(ES9,ES25,ES41,ES57,ES73),DV41,DV9,DV25,DV57,DV73)</f>
        <v>1</v>
      </c>
      <c r="EC41" s="1" t="b" cm="1">
        <f t="array" ref="EC41">EntryDeath(DV41,DV25,DV9,DV57,DV73)</f>
        <v>1</v>
      </c>
      <c r="ED41" s="5">
        <v>3</v>
      </c>
      <c r="EE41" s="1">
        <f t="shared" si="24"/>
        <v>0</v>
      </c>
      <c r="EF41" s="1">
        <f t="shared" si="27"/>
        <v>0</v>
      </c>
      <c r="EG41" s="1">
        <f t="shared" si="28"/>
        <v>0</v>
      </c>
      <c r="EH41" s="1" cm="1">
        <f t="array" ref="EH41">ExitFrag(EN41,MAX(DV9,DV25,DV57,DV73),MAX(ES9,ES25,ES41,ES57,ES73,FA90),MAX(EZ9,EZ25,EZ41,EZ57,EZ73,FI90),MAX(FG9,FG25,FG41,FG57,FG73,FP90),MAX(FN9,FN25,FN41,FN57,FN73,FW90),MAX(FU9,FU25,FU41,FU57,FU73,GD90))</f>
        <v>0</v>
      </c>
      <c r="EI41" s="1" t="b" cm="1">
        <f t="array" ref="EI41">OpeningKill(ES41,ES25,ES9,ES57,ES73,FB90,DV9,DV25,DV41,DV57,DV73)</f>
        <v>0</v>
      </c>
      <c r="EJ41" s="1" t="b">
        <f t="shared" si="29"/>
        <v>0</v>
      </c>
      <c r="EK41" s="5">
        <v>3</v>
      </c>
      <c r="EL41" s="1" t="b">
        <v>0</v>
      </c>
      <c r="EM41" s="1" t="b" cm="1">
        <f t="array" ref="EM41">IF(NOT(ISBLANK(CP27)),KOST(EE41,DY41,DV41,EL41),"NOT PLAYED")</f>
        <v>0</v>
      </c>
      <c r="EN41" s="1" t="b" cm="1">
        <f t="array" ref="EN41">OneVX(DV57,DV73,DV9,DV25,DV41)</f>
        <v>0</v>
      </c>
      <c r="EO41" s="1" t="b">
        <f t="shared" si="30"/>
        <v>0</v>
      </c>
      <c r="EP41" s="1" t="str" cm="1">
        <f t="array" ref="EP41:EU41">DetermineKill(ConvertToRoundTime(secandmin(BS9),secandmin(CJ27),BT9),BR9,BV9,BW9,BU9,BY9,BX9,$O$4)</f>
        <v>NOLOC</v>
      </c>
      <c r="EQ41" s="1" t="b">
        <v>0</v>
      </c>
      <c r="ER41" s="1" t="b">
        <v>0</v>
      </c>
      <c r="ES41" s="1" t="b">
        <v>0</v>
      </c>
      <c r="ET41" s="1" t="b">
        <v>0</v>
      </c>
      <c r="EU41" s="1" t="b">
        <v>0</v>
      </c>
      <c r="EV41" s="1" t="str" cm="1">
        <f t="array" ref="EV41">DeathTraded(ES41,$O$4,DV9,$O$2,DV25,$O$3,DV41,$O$4,DV57,$O$5,DV73,$O$6,$R$2)</f>
        <v>N/A</v>
      </c>
      <c r="EW41" s="1" t="str" cm="1">
        <f t="array" ref="EW41:FB41">DetermineKill(ConvertToRoundTime(secandmin(CB9),secandmin(CJ27),CC9),CA9,CE9,CF9,CD9,CH9,CG9,$O$4)</f>
        <v>NOLOC</v>
      </c>
      <c r="EX41" s="1" t="b">
        <v>0</v>
      </c>
      <c r="EY41" s="1" t="b">
        <v>0</v>
      </c>
      <c r="EZ41" s="1" t="b">
        <v>0</v>
      </c>
      <c r="FA41" s="1" t="b">
        <v>0</v>
      </c>
      <c r="FB41" s="1" t="b">
        <v>0</v>
      </c>
      <c r="FC41" s="1" t="str" cm="1">
        <f t="array" ref="FC41">DeathTraded(EZ41,$O$4,DV9,$O$2,DV25,$O$3,DV41,$O$4,DV57,$O$5,DV73,$O$6,$R$2)</f>
        <v>N/A</v>
      </c>
      <c r="FD41" s="1" t="str" cm="1">
        <f t="array" ref="FD41:FI41">DetermineKill(ConvertToRoundTime(secandmin(CK9),secandmin(CJ27),CL9),CJ9,CN9,CO9,CM9,CQ9,CP9,$O$4)</f>
        <v>NOLOC</v>
      </c>
      <c r="FE41" s="1" t="b">
        <v>0</v>
      </c>
      <c r="FF41" s="1" t="b">
        <v>0</v>
      </c>
      <c r="FG41" s="1" t="b">
        <v>0</v>
      </c>
      <c r="FH41" s="1" t="b">
        <v>0</v>
      </c>
      <c r="FI41" s="1" t="b">
        <v>0</v>
      </c>
      <c r="FJ41" s="1" t="str" cm="1">
        <f t="array" ref="FJ41">DeathTraded(FG41,$O$4,DV9,$O$2,DV25,$O$3,DV41,$O$4,DV57,$O$5,DV73,$O$6,$R$2)</f>
        <v>N/A</v>
      </c>
      <c r="FK41" s="1" t="str" cm="1">
        <f t="array" ref="FK41:FP41">DetermineKill(ConvertToRoundTime(secandmin(CT9),secandmin(CJ27),CU9),CS9,CW9,CX9,CV9,CZ9,CY9,$O$4)</f>
        <v>NOLOC</v>
      </c>
      <c r="FL41" s="1" t="b">
        <v>0</v>
      </c>
      <c r="FM41" s="1" t="b">
        <v>0</v>
      </c>
      <c r="FN41" s="1" t="b">
        <v>0</v>
      </c>
      <c r="FO41" s="1" t="b">
        <v>0</v>
      </c>
      <c r="FP41" s="1" t="b">
        <v>0</v>
      </c>
      <c r="FQ41" s="1" t="str" cm="1">
        <f t="array" ref="FQ41">DeathTraded(FN41,$O$4,DV9,$O$2,DV25,$O$3,DV41,$O$4,DV57,$O$5,DV73,$O$6,$R$2)</f>
        <v>N/A</v>
      </c>
      <c r="FR41" s="1" t="str" cm="1">
        <f t="array" ref="FR41:FW41">DetermineKill(ConvertToRoundTime(secandmin(DC9),secandmin(CJ27),DD9),DB9,DF9,DG9,DE9,DI9,DH9,$O$4)</f>
        <v>NOLOC</v>
      </c>
      <c r="FS41" s="1" t="b">
        <v>0</v>
      </c>
      <c r="FT41" s="1" t="b">
        <v>0</v>
      </c>
      <c r="FU41" s="1" t="b">
        <v>0</v>
      </c>
      <c r="FV41" s="1" t="b">
        <v>0</v>
      </c>
      <c r="FW41" s="1" t="b">
        <v>0</v>
      </c>
      <c r="FX41" s="1" t="str" cm="1">
        <f t="array" ref="FX41">DeathTraded(FU41,$O$4,DV9,$O$2,DV25,$O$3,DV41,$O$4,DV57,$O$5,DV73,$O$6,$R$2)</f>
        <v>N/A</v>
      </c>
      <c r="FY41" s="5">
        <v>3</v>
      </c>
      <c r="FZ41" s="1">
        <f t="shared" si="31"/>
        <v>0</v>
      </c>
      <c r="GA41" s="21">
        <f t="shared" si="32"/>
        <v>0</v>
      </c>
      <c r="GB41" s="1" t="str">
        <f t="shared" si="25"/>
        <v>NODATA</v>
      </c>
      <c r="GC41" s="13" t="str">
        <f t="shared" si="33"/>
        <v>NODATA</v>
      </c>
      <c r="GD41" s="1" t="str">
        <f t="shared" si="34"/>
        <v>NODATA</v>
      </c>
      <c r="GE41" s="1" t="str">
        <f t="shared" si="35"/>
        <v>NODATA</v>
      </c>
      <c r="GF41" s="1" t="b" cm="1">
        <f t="array" ref="GF41">IF($V$2=TRUE,IF(CH27="Attack",ConvertToRoundTime(secandmin(BO27),secandmin(CJ27),BP27),""),"NO DATA")</f>
        <v>0</v>
      </c>
      <c r="GG41" s="1" t="b" cm="1">
        <f t="array" ref="GG41">IF($V$2=TRUE,IF(CH27="Attack",ConvertToRoundTime(secandmin(BQ27),secandmin(CJ27),BR27),""),"NO DATA")</f>
        <v>0</v>
      </c>
    </row>
    <row r="42" spans="27:189" x14ac:dyDescent="0.25">
      <c r="AB42" s="5">
        <v>1</v>
      </c>
      <c r="AC42" s="38"/>
      <c r="AD42" s="14"/>
      <c r="AE42" s="38"/>
      <c r="AF42" s="14"/>
      <c r="AG42" s="38"/>
      <c r="DP42" s="37"/>
      <c r="DQ42" s="48" t="str">
        <f ca="1">A2</f>
        <v>8_22 Skyscraper_1</v>
      </c>
      <c r="DR42" s="4">
        <v>4</v>
      </c>
      <c r="DS42" s="1" t="str">
        <v>Attack</v>
      </c>
      <c r="DT42" s="1" t="str">
        <f t="shared" si="26"/>
        <v>Ozone</v>
      </c>
      <c r="DU42" s="1" t="str">
        <v>Finka</v>
      </c>
      <c r="DV42" s="21" cm="1">
        <f t="array" ref="DV42">ConvertToRoundTime(secandmin(AS10),secandmin(CJ28),AT10)</f>
        <v>129</v>
      </c>
      <c r="DW42" s="1" t="str">
        <v>Floofs</v>
      </c>
      <c r="DX42" s="1" t="b" cm="1">
        <f t="array" ref="DX42">DeathRefragged(DV42,MAX(ES10,ES26,ES42,ES58,ES74,FA91),MAX(EZ10,EZ26,EZ42,EZ58,EZ74,FI91),MAX(FG10,FG26,FG42,FG58,FG74,FP91),MAX(FN10,FN26,FN42,FN58,FN74,FW91),MAX(FU10,FU26,FU42,FU58,FU74,GD91),$Q$2)</f>
        <v>0</v>
      </c>
      <c r="DY42" s="1" t="b" cm="1">
        <f t="array" ref="DY42">DeathTraded(DV42,DW42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1</v>
      </c>
      <c r="DZ42" s="1" t="b">
        <v>0</v>
      </c>
      <c r="EA42" s="1" t="str">
        <v>NOLOC</v>
      </c>
      <c r="EB42" s="1" t="b" cm="1">
        <f t="array" ref="EB42">OpeningDeath(MAX(ES10,ES26,ES42,ES58,ES74),DV42,DV10,DV26,DV58,DV74)</f>
        <v>0</v>
      </c>
      <c r="EC42" s="1" t="b" cm="1">
        <f t="array" ref="EC42">EntryDeath(DV42,DV26,DV10,DV58,DV74)</f>
        <v>0</v>
      </c>
      <c r="ED42" s="4">
        <v>4</v>
      </c>
      <c r="EE42" s="1">
        <f t="shared" si="24"/>
        <v>1</v>
      </c>
      <c r="EF42" s="1">
        <f t="shared" si="27"/>
        <v>1</v>
      </c>
      <c r="EG42" s="1">
        <f t="shared" si="28"/>
        <v>0</v>
      </c>
      <c r="EH42" s="1" cm="1">
        <f t="array" ref="EH42">ExitFrag(EN42,MAX(DV10,DV26,DV58,DV74),MAX(ES10,ES26,ES42,ES58,ES74,FA91),MAX(EZ10,EZ26,EZ42,EZ58,EZ74,FI91),MAX(FG10,FG26,FG42,FG58,FG74,FP91),MAX(FN10,FN26,FN42,FN58,FN74,FW91),MAX(FU10,FU26,FU42,FU58,FU74,GD91))</f>
        <v>0</v>
      </c>
      <c r="EI42" s="1" t="b" cm="1">
        <f t="array" ref="EI42">OpeningKill(ES42,ES26,ES10,ES58,ES74,FB91,DV10,DV26,DV42,DV58,DV74)</f>
        <v>0</v>
      </c>
      <c r="EJ42" s="1" t="b">
        <f t="shared" si="29"/>
        <v>0</v>
      </c>
      <c r="EK42" s="4">
        <v>4</v>
      </c>
      <c r="EL42" s="1" t="b">
        <v>0</v>
      </c>
      <c r="EM42" s="1" t="b" cm="1">
        <f t="array" ref="EM42">IF(NOT(ISBLANK(CP28)),KOST(EE42,DY42,DV42,EL42),"NOT PLAYED")</f>
        <v>1</v>
      </c>
      <c r="EN42" s="1" t="b" cm="1">
        <f t="array" ref="EN42">OneVX(DV58,DV74,DV10,DV26,DV42)</f>
        <v>0</v>
      </c>
      <c r="EO42" s="1" t="b">
        <f t="shared" si="30"/>
        <v>0</v>
      </c>
      <c r="EP42" s="1" t="str" cm="1">
        <f t="array" ref="EP42:EU42">DetermineKill(ConvertToRoundTime(secandmin(BS10),secandmin(CJ28),BT10),BR10,BV10,BW10,BU10,BY10,BX10,$O$4)</f>
        <v>NOLOC</v>
      </c>
      <c r="EQ42" s="1" t="b">
        <v>0</v>
      </c>
      <c r="ER42" s="1" t="b">
        <v>0</v>
      </c>
      <c r="ES42" s="1" t="b">
        <v>0</v>
      </c>
      <c r="ET42" s="1" t="b">
        <v>0</v>
      </c>
      <c r="EU42" s="1" t="b">
        <v>0</v>
      </c>
      <c r="EV42" s="1" t="str" cm="1">
        <f t="array" ref="EV42">DeathTraded(ES42,$O$4,DV10,$O$2,DV26,$O$3,DV42,$O$4,DV58,$O$5,DV74,$O$6,$R$2)</f>
        <v>N/A</v>
      </c>
      <c r="EW42" s="1" t="str" cm="1">
        <f t="array" ref="EW42:FB42">DetermineKill(ConvertToRoundTime(secandmin(CB10),secandmin(CJ28),CC10),CA10,CE10,CF10,CD10,CH10,CG10,$O$4)</f>
        <v>NOLOC</v>
      </c>
      <c r="EX42" s="1" t="b">
        <v>0</v>
      </c>
      <c r="EY42" s="1" t="b">
        <v>0</v>
      </c>
      <c r="EZ42" s="1" t="b">
        <v>0</v>
      </c>
      <c r="FA42" s="1" t="b">
        <v>0</v>
      </c>
      <c r="FB42" s="1" t="b">
        <v>0</v>
      </c>
      <c r="FC42" s="1" t="str" cm="1">
        <f t="array" ref="FC42">DeathTraded(EZ42,$O$4,DV10,$O$2,DV26,$O$3,DV42,$O$4,DV58,$O$5,DV74,$O$6,$R$2)</f>
        <v>N/A</v>
      </c>
      <c r="FD42" s="1" t="str" cm="1">
        <f t="array" ref="FD42:FI42">DetermineKill(ConvertToRoundTime(secandmin(CK10),secandmin(CJ28),CL10),CJ10,CN10,CO10,CM10,CQ10,CP10,$O$4)</f>
        <v>NOLOC</v>
      </c>
      <c r="FE42" s="1" t="b">
        <v>0</v>
      </c>
      <c r="FF42" s="1" t="b">
        <v>0</v>
      </c>
      <c r="FG42" s="1" t="b">
        <v>0</v>
      </c>
      <c r="FH42" s="1" t="b">
        <v>0</v>
      </c>
      <c r="FI42" s="1" t="b">
        <v>0</v>
      </c>
      <c r="FJ42" s="1" t="str" cm="1">
        <f t="array" ref="FJ42">DeathTraded(FG42,$O$4,DV10,$O$2,DV26,$O$3,DV42,$O$4,DV58,$O$5,DV74,$O$6,$R$2)</f>
        <v>N/A</v>
      </c>
      <c r="FK42" s="1" t="str" cm="1">
        <f t="array" ref="FK42:FP42">DetermineKill(ConvertToRoundTime(secandmin(CT10),secandmin(CJ28),CU10),CS10,CW10,CX10,CV10,CZ10,CY10,$O$4)</f>
        <v>NOLOC</v>
      </c>
      <c r="FL42" s="1" t="b">
        <v>0</v>
      </c>
      <c r="FM42" s="1" t="b">
        <v>0</v>
      </c>
      <c r="FN42" s="1" t="b">
        <v>0</v>
      </c>
      <c r="FO42" s="1" t="b">
        <v>0</v>
      </c>
      <c r="FP42" s="1" t="b">
        <v>0</v>
      </c>
      <c r="FQ42" s="1" t="str" cm="1">
        <f t="array" ref="FQ42">DeathTraded(FN42,$O$4,DV10,$O$2,DV26,$O$3,DV42,$O$4,DV58,$O$5,DV74,$O$6,$R$2)</f>
        <v>N/A</v>
      </c>
      <c r="FR42" s="1" t="str" cm="1">
        <f t="array" ref="FR42:FW42">DetermineKill(ConvertToRoundTime(secandmin(DC10),secandmin(CJ28),DD10),DB10,DF10,DG10,DE10,DI10,DH10,$O$4)</f>
        <v>UNKNOWN</v>
      </c>
      <c r="FS42" s="1" t="b">
        <v>0</v>
      </c>
      <c r="FT42" s="1" t="str">
        <v>Kiru</v>
      </c>
      <c r="FU42" s="1">
        <v>152</v>
      </c>
      <c r="FV42" s="1" t="b">
        <v>0</v>
      </c>
      <c r="FW42" s="1" t="b">
        <v>1</v>
      </c>
      <c r="FX42" s="1" t="b" cm="1">
        <f t="array" ref="FX42">DeathTraded(FU42,$O$4,DV10,$O$2,DV26,$O$3,DV42,$O$4,DV58,$O$5,DV74,$O$6,$R$2)</f>
        <v>0</v>
      </c>
      <c r="FY42" s="4">
        <v>4</v>
      </c>
      <c r="FZ42" s="1">
        <f t="shared" si="31"/>
        <v>0</v>
      </c>
      <c r="GA42" s="21">
        <f t="shared" si="32"/>
        <v>0</v>
      </c>
      <c r="GB42" s="1" t="str">
        <f t="shared" si="25"/>
        <v>NODATA</v>
      </c>
      <c r="GC42" s="13" t="str">
        <f t="shared" si="33"/>
        <v>NODATA</v>
      </c>
      <c r="GD42" s="1" t="str">
        <f t="shared" si="34"/>
        <v>NODATA</v>
      </c>
      <c r="GE42" s="1" t="str">
        <f t="shared" si="35"/>
        <v>NODATA</v>
      </c>
      <c r="GF42" s="1" t="b" cm="1">
        <f t="array" ref="GF42">IF($V$2=TRUE,IF(CH28="Attack",ConvertToRoundTime(secandmin(BO28),secandmin(CJ28),BP28),""),"NO DATA")</f>
        <v>0</v>
      </c>
      <c r="GG42" s="1" t="b" cm="1">
        <f t="array" ref="GG42">IF($V$2=TRUE,IF(CH28="Attack",ConvertToRoundTime(secandmin(BQ28),secandmin(CJ28),BR28),""),"NO DATA")</f>
        <v>0</v>
      </c>
    </row>
    <row r="43" spans="27:189" x14ac:dyDescent="0.25">
      <c r="AB43" s="4">
        <v>2</v>
      </c>
      <c r="AC43" s="39">
        <v>1</v>
      </c>
      <c r="AD43" s="15"/>
      <c r="AE43" s="39"/>
      <c r="AF43" s="15"/>
      <c r="AG43" s="39"/>
      <c r="DP43" s="37"/>
      <c r="DQ43" s="48" t="str">
        <f ca="1">A2</f>
        <v>8_22 Skyscraper_1</v>
      </c>
      <c r="DR43" s="5">
        <v>5</v>
      </c>
      <c r="DS43" s="1" t="str">
        <v>Attack</v>
      </c>
      <c r="DT43" s="1" t="str">
        <f t="shared" si="26"/>
        <v>Ozone</v>
      </c>
      <c r="DU43" s="1" t="str">
        <v>Finka</v>
      </c>
      <c r="DV43" s="21" cm="1">
        <f t="array" ref="DV43">ConvertToRoundTime(secandmin(AS11),secandmin(CJ29),AT11)</f>
        <v>38</v>
      </c>
      <c r="DW43" s="1" t="str">
        <v>Snipey</v>
      </c>
      <c r="DX43" s="1" t="b" cm="1">
        <f t="array" ref="DX43">DeathRefragged(DV43,MAX(ES11,ES27,ES43,ES59,ES75,FA92),MAX(EZ11,EZ27,EZ43,EZ59,EZ75,FI92),MAX(FG11,FG27,FG43,FG59,FG75,FP92),MAX(FN11,FN27,FN43,FN59,FN75,FW92),MAX(FU11,FU27,FU43,FU59,FU75,GD92),$Q$2)</f>
        <v>0</v>
      </c>
      <c r="DY43" s="1" t="b" cm="1">
        <f t="array" ref="DY43">DeathTraded(DV43,DW43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0</v>
      </c>
      <c r="DZ43" s="1" t="b">
        <v>0</v>
      </c>
      <c r="EA43" s="1" t="str">
        <v>NOLOC</v>
      </c>
      <c r="EB43" s="1" t="b" cm="1">
        <f t="array" ref="EB43">OpeningDeath(MAX(ES11,ES27,ES43,ES59,ES75),DV43,DV11,DV27,DV59,DV75)</f>
        <v>1</v>
      </c>
      <c r="EC43" s="1" t="b" cm="1">
        <f t="array" ref="EC43">EntryDeath(DV43,DV27,DV11,DV59,DV75)</f>
        <v>1</v>
      </c>
      <c r="ED43" s="5">
        <v>5</v>
      </c>
      <c r="EE43" s="1">
        <f t="shared" si="24"/>
        <v>0</v>
      </c>
      <c r="EF43" s="1">
        <f t="shared" si="27"/>
        <v>0</v>
      </c>
      <c r="EG43" s="1">
        <f t="shared" si="28"/>
        <v>0</v>
      </c>
      <c r="EH43" s="1" cm="1">
        <f t="array" ref="EH43">ExitFrag(EN43,MAX(DV11,DV27,DV59,DV75),MAX(ES11,ES27,ES43,ES59,ES75,FA92),MAX(EZ11,EZ27,EZ43,EZ59,EZ75,FI92),MAX(FG11,FG27,FG43,FG59,FG75,FP92),MAX(FN11,FN27,FN43,FN59,FN75,FW92),MAX(FU11,FU27,FU43,FU59,FU75,GD92))</f>
        <v>0</v>
      </c>
      <c r="EI43" s="1" t="b" cm="1">
        <f t="array" ref="EI43">OpeningKill(ES43,ES27,ES11,ES59,ES75,FB92,DV11,DV27,DV43,DV59,DV75)</f>
        <v>0</v>
      </c>
      <c r="EJ43" s="1" t="b">
        <f t="shared" si="29"/>
        <v>0</v>
      </c>
      <c r="EK43" s="5">
        <v>5</v>
      </c>
      <c r="EL43" s="1" t="b">
        <v>0</v>
      </c>
      <c r="EM43" s="1" t="b" cm="1">
        <f t="array" ref="EM43">IF(NOT(ISBLANK(CP29)),KOST(EE43,DY43,DV43,EL43),"NOT PLAYED")</f>
        <v>0</v>
      </c>
      <c r="EN43" s="1" t="b" cm="1">
        <f t="array" ref="EN43">OneVX(DV59,DV75,DV11,DV27,DV43)</f>
        <v>0</v>
      </c>
      <c r="EO43" s="1" t="b">
        <f t="shared" si="30"/>
        <v>0</v>
      </c>
      <c r="EP43" s="1" t="str" cm="1">
        <f t="array" ref="EP43:EU43">DetermineKill(ConvertToRoundTime(secandmin(BS11),secandmin(CJ29),BT11),BR11,BV11,BW11,BU11,BY11,BX11,$O$4)</f>
        <v>NOLOC</v>
      </c>
      <c r="EQ43" s="1" t="b">
        <v>0</v>
      </c>
      <c r="ER43" s="1" t="b">
        <v>0</v>
      </c>
      <c r="ES43" s="1" t="b">
        <v>0</v>
      </c>
      <c r="ET43" s="1" t="b">
        <v>0</v>
      </c>
      <c r="EU43" s="1" t="b">
        <v>0</v>
      </c>
      <c r="EV43" s="1" t="str" cm="1">
        <f t="array" ref="EV43">DeathTraded(ES43,$O$4,DV11,$O$2,DV27,$O$3,DV43,$O$4,DV59,$O$5,DV75,$O$6,$R$2)</f>
        <v>N/A</v>
      </c>
      <c r="EW43" s="1" t="str" cm="1">
        <f t="array" ref="EW43:FB43">DetermineKill(ConvertToRoundTime(secandmin(CB11),secandmin(CJ29),CC11),CA11,CE11,CF11,CD11,CH11,CG11,$O$4)</f>
        <v>NOLOC</v>
      </c>
      <c r="EX43" s="1" t="b">
        <v>0</v>
      </c>
      <c r="EY43" s="1" t="b">
        <v>0</v>
      </c>
      <c r="EZ43" s="1" t="b">
        <v>0</v>
      </c>
      <c r="FA43" s="1" t="b">
        <v>0</v>
      </c>
      <c r="FB43" s="1" t="b">
        <v>0</v>
      </c>
      <c r="FC43" s="1" t="str" cm="1">
        <f t="array" ref="FC43">DeathTraded(EZ43,$O$4,DV11,$O$2,DV27,$O$3,DV43,$O$4,DV59,$O$5,DV75,$O$6,$R$2)</f>
        <v>N/A</v>
      </c>
      <c r="FD43" s="1" t="str" cm="1">
        <f t="array" ref="FD43:FI43">DetermineKill(ConvertToRoundTime(secandmin(CK11),secandmin(CJ29),CL11),CJ11,CN11,CO11,CM11,CQ11,CP11,$O$4)</f>
        <v>NOLOC</v>
      </c>
      <c r="FE43" s="1" t="b">
        <v>0</v>
      </c>
      <c r="FF43" s="1" t="b">
        <v>0</v>
      </c>
      <c r="FG43" s="1" t="b">
        <v>0</v>
      </c>
      <c r="FH43" s="1" t="b">
        <v>0</v>
      </c>
      <c r="FI43" s="1" t="b">
        <v>0</v>
      </c>
      <c r="FJ43" s="1" t="str" cm="1">
        <f t="array" ref="FJ43">DeathTraded(FG43,$O$4,DV11,$O$2,DV27,$O$3,DV43,$O$4,DV59,$O$5,DV75,$O$6,$R$2)</f>
        <v>N/A</v>
      </c>
      <c r="FK43" s="1" t="str" cm="1">
        <f t="array" ref="FK43:FP43">DetermineKill(ConvertToRoundTime(secandmin(CT11),secandmin(CJ29),CU11),CS11,CW11,CX11,CV11,CZ11,CY11,$O$4)</f>
        <v>NOLOC</v>
      </c>
      <c r="FL43" s="1" t="b">
        <v>0</v>
      </c>
      <c r="FM43" s="1" t="b">
        <v>0</v>
      </c>
      <c r="FN43" s="1" t="b">
        <v>0</v>
      </c>
      <c r="FO43" s="1" t="b">
        <v>0</v>
      </c>
      <c r="FP43" s="1" t="b">
        <v>0</v>
      </c>
      <c r="FQ43" s="1" t="str" cm="1">
        <f t="array" ref="FQ43">DeathTraded(FN43,$O$4,DV11,$O$2,DV27,$O$3,DV43,$O$4,DV59,$O$5,DV75,$O$6,$R$2)</f>
        <v>N/A</v>
      </c>
      <c r="FR43" s="1" t="str" cm="1">
        <f t="array" ref="FR43:FW43">DetermineKill(ConvertToRoundTime(secandmin(DC11),secandmin(CJ29),DD11),DB11,DF11,DG11,DE11,DI11,DH11,$O$4)</f>
        <v>NOLOC</v>
      </c>
      <c r="FS43" s="1" t="b">
        <v>0</v>
      </c>
      <c r="FT43" s="1" t="b">
        <v>0</v>
      </c>
      <c r="FU43" s="1" t="b">
        <v>0</v>
      </c>
      <c r="FV43" s="1" t="b">
        <v>0</v>
      </c>
      <c r="FW43" s="1" t="b">
        <v>0</v>
      </c>
      <c r="FX43" s="1" t="str" cm="1">
        <f t="array" ref="FX43">DeathTraded(FU43,$O$4,DV11,$O$2,DV27,$O$3,DV43,$O$4,DV59,$O$5,DV75,$O$6,$R$2)</f>
        <v>N/A</v>
      </c>
      <c r="FY43" s="5">
        <v>5</v>
      </c>
      <c r="FZ43" s="1">
        <f t="shared" si="31"/>
        <v>0</v>
      </c>
      <c r="GA43" s="21">
        <f t="shared" si="32"/>
        <v>0</v>
      </c>
      <c r="GB43" s="1" t="str">
        <f t="shared" si="25"/>
        <v>NODATA</v>
      </c>
      <c r="GC43" s="13" t="str">
        <f t="shared" si="33"/>
        <v>NODATA</v>
      </c>
      <c r="GD43" s="1" t="str">
        <f t="shared" si="34"/>
        <v>NODATA</v>
      </c>
      <c r="GE43" s="1" t="str">
        <f t="shared" si="35"/>
        <v>NODATA</v>
      </c>
      <c r="GF43" s="1" t="b" cm="1">
        <f t="array" ref="GF43">IF($V$2=TRUE,IF(CH29="Attack",ConvertToRoundTime(secandmin(BO29),secandmin(CJ29),BP29),""),"NO DATA")</f>
        <v>0</v>
      </c>
      <c r="GG43" s="1" t="b" cm="1">
        <f t="array" ref="GG43">IF($V$2=TRUE,IF(CH29="Attack",ConvertToRoundTime(secandmin(BQ29),secandmin(CJ29),BR29),""),"NO DATA")</f>
        <v>0</v>
      </c>
    </row>
    <row r="44" spans="27:189" x14ac:dyDescent="0.25">
      <c r="AB44" s="5">
        <v>3</v>
      </c>
      <c r="AC44" s="38">
        <v>0</v>
      </c>
      <c r="AD44" s="14"/>
      <c r="AE44" s="38"/>
      <c r="AF44" s="14"/>
      <c r="AG44" s="38"/>
      <c r="DP44" s="37"/>
      <c r="DQ44" s="48" t="str">
        <f ca="1">A2</f>
        <v>8_22 Skyscraper_1</v>
      </c>
      <c r="DR44" s="4">
        <v>6</v>
      </c>
      <c r="DS44" s="1" t="str">
        <v>Attack</v>
      </c>
      <c r="DT44" s="1" t="str">
        <f t="shared" si="26"/>
        <v>Ozone</v>
      </c>
      <c r="DU44" s="1" t="str">
        <v>Finka</v>
      </c>
      <c r="DV44" s="21" cm="1">
        <f t="array" ref="DV44">ConvertToRoundTime(secandmin(AS12),secandmin(CJ30),AT12)</f>
        <v>110</v>
      </c>
      <c r="DW44" s="1" t="str">
        <v>Floofs</v>
      </c>
      <c r="DX44" s="1" t="b" cm="1">
        <f t="array" ref="DX44">DeathRefragged(DV44,MAX(ES12,ES28,ES44,ES60,ES76,FA93),MAX(EZ12,EZ28,EZ44,EZ60,EZ76,FI93),MAX(FG12,FG28,FG44,FG60,FG76,FP93),MAX(FN12,FN28,FN44,FN60,FN76,FW93),MAX(FU12,FU28,FU44,FU60,FU76,GD93),$Q$2)</f>
        <v>0</v>
      </c>
      <c r="DY44" s="1" t="b" cm="1">
        <f t="array" ref="DY44">DeathTraded(DV44,DW44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0</v>
      </c>
      <c r="DZ44" s="1" t="b">
        <v>0</v>
      </c>
      <c r="EA44" s="1" t="str">
        <v>NOLOC</v>
      </c>
      <c r="EB44" s="1" t="b" cm="1">
        <f t="array" ref="EB44">OpeningDeath(MAX(ES12,ES28,ES44,ES60,ES76),DV44,DV12,DV28,DV60,DV76)</f>
        <v>0</v>
      </c>
      <c r="EC44" s="1" t="b" cm="1">
        <f t="array" ref="EC44">EntryDeath(DV44,DV28,DV12,DV60,DV76)</f>
        <v>0</v>
      </c>
      <c r="ED44" s="4">
        <v>6</v>
      </c>
      <c r="EE44" s="1">
        <f t="shared" si="24"/>
        <v>1</v>
      </c>
      <c r="EF44" s="1">
        <f t="shared" si="27"/>
        <v>1</v>
      </c>
      <c r="EG44" s="1">
        <f t="shared" si="28"/>
        <v>0</v>
      </c>
      <c r="EH44" s="1" cm="1">
        <f t="array" ref="EH44">ExitFrag(EN44,MAX(DV12,DV28,DV60,DV76),MAX(ES12,ES28,ES44,ES60,ES76,FA93),MAX(EZ12,EZ28,EZ44,EZ60,EZ76,FI93),MAX(FG12,FG28,FG44,FG60,FG76,FP93),MAX(FN12,FN28,FN44,FN60,FN76,FW93),MAX(FU12,FU28,FU44,FU60,FU76,GD93))</f>
        <v>0</v>
      </c>
      <c r="EI44" s="1" t="b" cm="1">
        <f t="array" ref="EI44">OpeningKill(ES44,ES28,ES12,ES60,ES76,FB93,DV12,DV28,DV44,DV60,DV76)</f>
        <v>0</v>
      </c>
      <c r="EJ44" s="1" t="b">
        <f t="shared" si="29"/>
        <v>0</v>
      </c>
      <c r="EK44" s="4">
        <v>6</v>
      </c>
      <c r="EL44" s="1" t="b">
        <v>0</v>
      </c>
      <c r="EM44" s="1" t="b" cm="1">
        <f t="array" ref="EM44">IF(NOT(ISBLANK(CP30)),KOST(EE44,DY44,DV44,EL44),"NOT PLAYED")</f>
        <v>1</v>
      </c>
      <c r="EN44" s="1" t="b" cm="1">
        <f t="array" ref="EN44">OneVX(DV60,DV76,DV12,DV28,DV44)</f>
        <v>0</v>
      </c>
      <c r="EO44" s="1" t="b">
        <f t="shared" si="30"/>
        <v>0</v>
      </c>
      <c r="EP44" s="1" t="str" cm="1">
        <f t="array" ref="EP44:EU44">DetermineKill(ConvertToRoundTime(secandmin(BS12),secandmin(CJ30),BT12),BR12,BV12,BW12,BU12,BY12,BX12,$O$4)</f>
        <v>NOLOC</v>
      </c>
      <c r="EQ44" s="1" t="b">
        <v>0</v>
      </c>
      <c r="ER44" s="1" t="b">
        <v>0</v>
      </c>
      <c r="ES44" s="1" t="b">
        <v>0</v>
      </c>
      <c r="ET44" s="1" t="b">
        <v>0</v>
      </c>
      <c r="EU44" s="1" t="b">
        <v>0</v>
      </c>
      <c r="EV44" s="1" t="str" cm="1">
        <f t="array" ref="EV44">DeathTraded(ES44,$O$4,DV12,$O$2,DV28,$O$3,DV44,$O$4,DV60,$O$5,DV76,$O$6,$R$2)</f>
        <v>N/A</v>
      </c>
      <c r="EW44" s="1" t="str" cm="1">
        <f t="array" ref="EW44:FB44">DetermineKill(ConvertToRoundTime(secandmin(CB12),secandmin(CJ30),CC12),CA12,CE12,CF12,CD12,CH12,CG12,$O$4)</f>
        <v>NOLOC</v>
      </c>
      <c r="EX44" s="1" t="b">
        <v>0</v>
      </c>
      <c r="EY44" s="1" t="b">
        <v>0</v>
      </c>
      <c r="EZ44" s="1" t="b">
        <v>0</v>
      </c>
      <c r="FA44" s="1" t="b">
        <v>0</v>
      </c>
      <c r="FB44" s="1" t="b">
        <v>0</v>
      </c>
      <c r="FC44" s="1" t="str" cm="1">
        <f t="array" ref="FC44">DeathTraded(EZ44,$O$4,DV12,$O$2,DV28,$O$3,DV44,$O$4,DV60,$O$5,DV76,$O$6,$R$2)</f>
        <v>N/A</v>
      </c>
      <c r="FD44" s="1" t="str" cm="1">
        <f t="array" ref="FD44:FI44">DetermineKill(ConvertToRoundTime(secandmin(CK12),secandmin(CJ30),CL12),CJ12,CN12,CO12,CM12,CQ12,CP12,$O$4)</f>
        <v>UNKNOWN</v>
      </c>
      <c r="FE44" s="1" t="b">
        <v>0</v>
      </c>
      <c r="FF44" s="1" t="str">
        <v>Snipey</v>
      </c>
      <c r="FG44" s="1">
        <v>123</v>
      </c>
      <c r="FH44" s="1" t="b">
        <v>0</v>
      </c>
      <c r="FI44" s="1" t="b">
        <v>1</v>
      </c>
      <c r="FJ44" s="1" t="b" cm="1">
        <f t="array" ref="FJ44">DeathTraded(FG44,$O$4,DV12,$O$2,DV28,$O$3,DV44,$O$4,DV60,$O$5,DV76,$O$6,$R$2)</f>
        <v>0</v>
      </c>
      <c r="FK44" s="1" t="str" cm="1">
        <f t="array" ref="FK44:FP44">DetermineKill(ConvertToRoundTime(secandmin(CT12),secandmin(CJ30),CU12),CS12,CW12,CX12,CV12,CZ12,CY12,$O$4)</f>
        <v>NOLOC</v>
      </c>
      <c r="FL44" s="1" t="b">
        <v>0</v>
      </c>
      <c r="FM44" s="1" t="b">
        <v>0</v>
      </c>
      <c r="FN44" s="1" t="b">
        <v>0</v>
      </c>
      <c r="FO44" s="1" t="b">
        <v>0</v>
      </c>
      <c r="FP44" s="1" t="b">
        <v>0</v>
      </c>
      <c r="FQ44" s="1" t="str" cm="1">
        <f t="array" ref="FQ44">DeathTraded(FN44,$O$4,DV12,$O$2,DV28,$O$3,DV44,$O$4,DV60,$O$5,DV76,$O$6,$R$2)</f>
        <v>N/A</v>
      </c>
      <c r="FR44" s="1" t="str" cm="1">
        <f t="array" ref="FR44:FW44">DetermineKill(ConvertToRoundTime(secandmin(DC12),secandmin(CJ30),DD12),DB12,DF12,DG12,DE12,DI12,DH12,$O$4)</f>
        <v>NOLOC</v>
      </c>
      <c r="FS44" s="1" t="b">
        <v>0</v>
      </c>
      <c r="FT44" s="1" t="b">
        <v>0</v>
      </c>
      <c r="FU44" s="1" t="b">
        <v>0</v>
      </c>
      <c r="FV44" s="1" t="b">
        <v>0</v>
      </c>
      <c r="FW44" s="1" t="b">
        <v>0</v>
      </c>
      <c r="FX44" s="1" t="str" cm="1">
        <f t="array" ref="FX44">DeathTraded(FU44,$O$4,DV12,$O$2,DV28,$O$3,DV44,$O$4,DV60,$O$5,DV76,$O$6,$R$2)</f>
        <v>N/A</v>
      </c>
      <c r="FY44" s="4">
        <v>6</v>
      </c>
      <c r="FZ44" s="1">
        <f t="shared" si="31"/>
        <v>0</v>
      </c>
      <c r="GA44" s="21">
        <f t="shared" si="32"/>
        <v>0</v>
      </c>
      <c r="GB44" s="1" t="str">
        <f t="shared" si="25"/>
        <v>NODATA</v>
      </c>
      <c r="GC44" s="13" t="str">
        <f t="shared" si="33"/>
        <v>NODATA</v>
      </c>
      <c r="GD44" s="1" t="str">
        <f t="shared" si="34"/>
        <v>NODATA</v>
      </c>
      <c r="GE44" s="1" t="str">
        <f t="shared" si="35"/>
        <v>NODATA</v>
      </c>
      <c r="GF44" s="1" t="b" cm="1">
        <f t="array" ref="GF44">IF($V$2=TRUE,IF(CH30="Attack",ConvertToRoundTime(secandmin(BO30),secandmin(CJ30),BP30),""),"NO DATA")</f>
        <v>0</v>
      </c>
      <c r="GG44" s="1" t="b" cm="1">
        <f t="array" ref="GG44">IF($V$2=TRUE,IF(CH30="Attack",ConvertToRoundTime(secandmin(BQ30),secandmin(CJ30),BR30),""),"NO DATA")</f>
        <v>0</v>
      </c>
    </row>
    <row r="45" spans="27:189" x14ac:dyDescent="0.25">
      <c r="AB45" s="4">
        <v>4</v>
      </c>
      <c r="AC45" s="39"/>
      <c r="AD45" s="15"/>
      <c r="AE45" s="39"/>
      <c r="AF45" s="15"/>
      <c r="AG45" s="39"/>
      <c r="DP45" s="37"/>
      <c r="DQ45" s="48" t="str">
        <f ca="1">A2</f>
        <v>8_22 Skyscraper_1</v>
      </c>
      <c r="DR45" s="5">
        <v>7</v>
      </c>
      <c r="DS45" s="1" t="str">
        <v>Defense</v>
      </c>
      <c r="DT45" s="1" t="str">
        <f t="shared" si="26"/>
        <v>Ozone</v>
      </c>
      <c r="DU45" s="1" t="str">
        <v>Smoke</v>
      </c>
      <c r="DV45" s="21" t="b" cm="1">
        <f t="array" ref="DV45">ConvertToRoundTime(secandmin(AS13),secandmin(CJ31),AT13)</f>
        <v>0</v>
      </c>
      <c r="DW45" s="1" t="b">
        <v>0</v>
      </c>
      <c r="DX45" s="1" t="str" cm="1">
        <f t="array" ref="DX45">DeathRefragged(DV45,MAX(ES13,ES29,ES45,ES61,ES77,FA94),MAX(EZ13,EZ29,EZ45,EZ61,EZ77,FI94),MAX(FG13,FG29,FG45,FG61,FG77,FP94),MAX(FN13,FN29,FN45,FN61,FN77,FW94),MAX(FU13,FU29,FU45,FU61,FU77,GD94),$Q$2)</f>
        <v>N/A</v>
      </c>
      <c r="DY45" s="1" t="str" cm="1">
        <f t="array" ref="DY45">DeathTraded(DV45,DW45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N/A</v>
      </c>
      <c r="DZ45" s="1" t="b">
        <v>0</v>
      </c>
      <c r="EA45" s="1" t="str">
        <v>NOLOC</v>
      </c>
      <c r="EB45" s="1" t="b" cm="1">
        <f t="array" ref="EB45">OpeningDeath(MAX(ES13,ES29,ES45,ES61,ES77),DV45,DV13,DV29,DV61,DV77)</f>
        <v>0</v>
      </c>
      <c r="EC45" s="1" t="b" cm="1">
        <f t="array" ref="EC45">EntryDeath(DV45,DV29,DV13,DV61,DV77)</f>
        <v>0</v>
      </c>
      <c r="ED45" s="5">
        <v>7</v>
      </c>
      <c r="EE45" s="1">
        <f t="shared" si="24"/>
        <v>0</v>
      </c>
      <c r="EF45" s="1">
        <f t="shared" si="27"/>
        <v>0</v>
      </c>
      <c r="EG45" s="1">
        <f t="shared" si="28"/>
        <v>0</v>
      </c>
      <c r="EH45" s="1" cm="1">
        <f t="array" ref="EH45">ExitFrag(EN45,MAX(DV13,DV29,DV61,DV77),MAX(ES13,ES29,ES45,ES61,ES77,FA94),MAX(EZ13,EZ29,EZ45,EZ61,EZ77,FI94),MAX(FG13,FG29,FG45,FG61,FG77,FP94),MAX(FN13,FN29,FN45,FN61,FN77,FW94),MAX(FU13,FU29,FU45,FU61,FU77,GD94))</f>
        <v>1</v>
      </c>
      <c r="EI45" s="1" t="b" cm="1">
        <f t="array" ref="EI45">OpeningKill(ES45,ES29,ES13,ES61,ES77,FB94,DV13,DV29,DV45,DV61,DV77)</f>
        <v>0</v>
      </c>
      <c r="EJ45" s="1" t="b">
        <f t="shared" si="29"/>
        <v>0</v>
      </c>
      <c r="EK45" s="5">
        <v>7</v>
      </c>
      <c r="EL45" s="1" t="b">
        <v>0</v>
      </c>
      <c r="EM45" s="1" t="b" cm="1">
        <f t="array" ref="EM45">IF(NOT(ISBLANK(CP31)),KOST(EE45,DY45,DV45,EL45),"NOT PLAYED")</f>
        <v>1</v>
      </c>
      <c r="EN45" s="1" t="b" cm="1">
        <f t="array" ref="EN45">OneVX(DV61,DV77,DV13,DV29,DV45)</f>
        <v>1</v>
      </c>
      <c r="EO45" s="1" t="b">
        <f t="shared" si="30"/>
        <v>1</v>
      </c>
      <c r="EP45" s="1" t="str" cm="1">
        <f t="array" ref="EP45:EU45">DetermineKill(ConvertToRoundTime(secandmin(BS13),secandmin(CJ31),BT13),BR13,BV13,BW13,BU13,BY13,BX13,$O$4)</f>
        <v>NOLOC</v>
      </c>
      <c r="EQ45" s="1" t="b">
        <v>0</v>
      </c>
      <c r="ER45" s="1" t="b">
        <v>0</v>
      </c>
      <c r="ES45" s="1" t="b">
        <v>0</v>
      </c>
      <c r="ET45" s="1" t="b">
        <v>0</v>
      </c>
      <c r="EU45" s="1" t="b">
        <v>0</v>
      </c>
      <c r="EV45" s="1" t="str" cm="1">
        <f t="array" ref="EV45">DeathTraded(ES45,$O$4,DV13,$O$2,DV29,$O$3,DV45,$O$4,DV61,$O$5,DV77,$O$6,$R$2)</f>
        <v>N/A</v>
      </c>
      <c r="EW45" s="1" t="str" cm="1">
        <f t="array" ref="EW45:FB45">DetermineKill(ConvertToRoundTime(secandmin(CB13),secandmin(CJ31),CC13),CA13,CE13,CF13,CD13,CH13,CG13,$O$4)</f>
        <v>NOLOC</v>
      </c>
      <c r="EX45" s="1" t="b">
        <v>0</v>
      </c>
      <c r="EY45" s="1" t="b">
        <v>0</v>
      </c>
      <c r="EZ45" s="1" t="b">
        <v>0</v>
      </c>
      <c r="FA45" s="1" t="b">
        <v>0</v>
      </c>
      <c r="FB45" s="1" t="b">
        <v>0</v>
      </c>
      <c r="FC45" s="1" t="str" cm="1">
        <f t="array" ref="FC45">DeathTraded(EZ45,$O$4,DV13,$O$2,DV29,$O$3,DV45,$O$4,DV61,$O$5,DV77,$O$6,$R$2)</f>
        <v>N/A</v>
      </c>
      <c r="FD45" s="1" t="str" cm="1">
        <f t="array" ref="FD45:FI45">DetermineKill(ConvertToRoundTime(secandmin(CK13),secandmin(CJ31),CL13),CJ13,CN13,CO13,CM13,CQ13,CP13,$O$4)</f>
        <v>NOLOC</v>
      </c>
      <c r="FE45" s="1" t="b">
        <v>0</v>
      </c>
      <c r="FF45" s="1" t="b">
        <v>0</v>
      </c>
      <c r="FG45" s="1" t="b">
        <v>0</v>
      </c>
      <c r="FH45" s="1" t="b">
        <v>0</v>
      </c>
      <c r="FI45" s="1" t="b">
        <v>0</v>
      </c>
      <c r="FJ45" s="1" t="str" cm="1">
        <f t="array" ref="FJ45">DeathTraded(FG45,$O$4,DV13,$O$2,DV29,$O$3,DV45,$O$4,DV61,$O$5,DV77,$O$6,$R$2)</f>
        <v>N/A</v>
      </c>
      <c r="FK45" s="1" t="str" cm="1">
        <f t="array" ref="FK45:FP45">DetermineKill(ConvertToRoundTime(secandmin(CT13),secandmin(CJ31),CU13),CS13,CW13,CX13,CV13,CZ13,CY13,$O$4)</f>
        <v>NOLOC</v>
      </c>
      <c r="FL45" s="1" t="b">
        <v>0</v>
      </c>
      <c r="FM45" s="1" t="b">
        <v>0</v>
      </c>
      <c r="FN45" s="1" t="b">
        <v>0</v>
      </c>
      <c r="FO45" s="1" t="b">
        <v>0</v>
      </c>
      <c r="FP45" s="1" t="b">
        <v>0</v>
      </c>
      <c r="FQ45" s="1" t="str" cm="1">
        <f t="array" ref="FQ45">DeathTraded(FN45,$O$4,DV13,$O$2,DV29,$O$3,DV45,$O$4,DV61,$O$5,DV77,$O$6,$R$2)</f>
        <v>N/A</v>
      </c>
      <c r="FR45" s="1" t="str" cm="1">
        <f t="array" ref="FR45:FW45">DetermineKill(ConvertToRoundTime(secandmin(DC13),secandmin(CJ31),DD13),DB13,DF13,DG13,DE13,DI13,DH13,$O$4)</f>
        <v>NOLOC</v>
      </c>
      <c r="FS45" s="1" t="b">
        <v>0</v>
      </c>
      <c r="FT45" s="1" t="b">
        <v>0</v>
      </c>
      <c r="FU45" s="1" t="b">
        <v>0</v>
      </c>
      <c r="FV45" s="1" t="b">
        <v>0</v>
      </c>
      <c r="FW45" s="1" t="b">
        <v>0</v>
      </c>
      <c r="FX45" s="1" t="str" cm="1">
        <f t="array" ref="FX45">DeathTraded(FU45,$O$4,DV13,$O$2,DV29,$O$3,DV45,$O$4,DV61,$O$5,DV77,$O$6,$R$2)</f>
        <v>N/A</v>
      </c>
      <c r="FY45" s="5">
        <v>7</v>
      </c>
      <c r="FZ45" s="1">
        <f t="shared" si="31"/>
        <v>0</v>
      </c>
      <c r="GA45" s="21">
        <f t="shared" si="32"/>
        <v>0</v>
      </c>
      <c r="GB45" s="1" t="str">
        <f t="shared" si="25"/>
        <v>NODATA</v>
      </c>
      <c r="GC45" s="13" t="str">
        <f t="shared" si="33"/>
        <v>NODATA</v>
      </c>
      <c r="GD45" s="1" t="str">
        <f t="shared" si="34"/>
        <v>NODATA</v>
      </c>
      <c r="GE45" s="1" t="str">
        <f t="shared" si="35"/>
        <v>NODATA</v>
      </c>
      <c r="GF45" s="1" t="str" cm="1">
        <f t="array" ref="GF45">IF($V$2=TRUE,IF(CH31="Attack",ConvertToRoundTime(secandmin(BO31),secandmin(CJ31),BP31),""),"NO DATA")</f>
        <v/>
      </c>
      <c r="GG45" s="1" t="str" cm="1">
        <f t="array" ref="GG45">IF($V$2=TRUE,IF(CH31="Attack",ConvertToRoundTime(secandmin(BQ31),secandmin(CJ31),BR31),""),"NO DATA")</f>
        <v/>
      </c>
    </row>
    <row r="46" spans="27:189" x14ac:dyDescent="0.25">
      <c r="AB46" s="5">
        <v>5</v>
      </c>
      <c r="AC46" s="38"/>
      <c r="AD46" s="14"/>
      <c r="AE46" s="38"/>
      <c r="AF46" s="14"/>
      <c r="AG46" s="38"/>
      <c r="DP46" s="37"/>
      <c r="DQ46" s="48" t="str">
        <f ca="1">A2</f>
        <v>8_22 Skyscraper_1</v>
      </c>
      <c r="DR46" s="4">
        <v>8</v>
      </c>
      <c r="DS46" s="1" t="str">
        <v>Defense</v>
      </c>
      <c r="DT46" s="1" t="str">
        <f t="shared" si="26"/>
        <v>Ozone</v>
      </c>
      <c r="DU46" s="1" t="str">
        <v>Smoke</v>
      </c>
      <c r="DV46" s="21" cm="1">
        <f t="array" ref="DV46">ConvertToRoundTime(secandmin(AS14),secandmin(CJ32),AT14)</f>
        <v>89</v>
      </c>
      <c r="DW46" s="1" t="str">
        <v>Kouiyn</v>
      </c>
      <c r="DX46" s="1" t="b" cm="1">
        <f t="array" ref="DX46">DeathRefragged(DV46,MAX(ES14,ES30,ES46,ES62,ES78,FA95),MAX(EZ14,EZ30,EZ46,EZ62,EZ78,FI95),MAX(FG14,FG30,FG46,FG62,FG78,FP95),MAX(FN14,FN30,FN46,FN62,FN78,FW95),MAX(FU14,FU30,FU46,FU62,FU78,GD95),$Q$2)</f>
        <v>0</v>
      </c>
      <c r="DY46" s="1" t="b" cm="1">
        <f t="array" ref="DY46">DeathTraded(DV46,DW46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1</v>
      </c>
      <c r="DZ46" s="1" t="b">
        <v>0</v>
      </c>
      <c r="EA46" s="1" t="str">
        <v>NOLOC</v>
      </c>
      <c r="EB46" s="1" t="b" cm="1">
        <f t="array" ref="EB46">OpeningDeath(MAX(ES14,ES30,ES46,ES62,ES78),DV46,DV14,DV30,DV62,DV78)</f>
        <v>0</v>
      </c>
      <c r="EC46" s="1" t="b" cm="1">
        <f t="array" ref="EC46">EntryDeath(DV46,DV30,DV14,DV62,DV78)</f>
        <v>1</v>
      </c>
      <c r="ED46" s="4">
        <v>8</v>
      </c>
      <c r="EE46" s="1">
        <f t="shared" si="24"/>
        <v>0</v>
      </c>
      <c r="EF46" s="1">
        <f t="shared" si="27"/>
        <v>0</v>
      </c>
      <c r="EG46" s="1">
        <f t="shared" si="28"/>
        <v>0</v>
      </c>
      <c r="EH46" s="1" cm="1">
        <f t="array" ref="EH46">ExitFrag(EN46,MAX(DV14,DV30,DV62,DV78),MAX(ES14,ES30,ES46,ES62,ES78,FA95),MAX(EZ14,EZ30,EZ46,EZ62,EZ78,FI95),MAX(FG14,FG30,FG46,FG62,FG78,FP95),MAX(FN14,FN30,FN46,FN62,FN78,FW95),MAX(FU14,FU30,FU46,FU62,FU78,GD95))</f>
        <v>0</v>
      </c>
      <c r="EI46" s="1" t="b" cm="1">
        <f t="array" ref="EI46">OpeningKill(ES46,ES30,ES14,ES62,ES78,FB95,DV14,DV30,DV46,DV62,DV78)</f>
        <v>0</v>
      </c>
      <c r="EJ46" s="1" t="b">
        <f t="shared" si="29"/>
        <v>0</v>
      </c>
      <c r="EK46" s="4">
        <v>8</v>
      </c>
      <c r="EL46" s="1" t="b">
        <v>0</v>
      </c>
      <c r="EM46" s="1" t="b" cm="1">
        <f t="array" ref="EM46">IF(NOT(ISBLANK(CP32)),KOST(EE46,DY46,DV46,EL46),"NOT PLAYED")</f>
        <v>1</v>
      </c>
      <c r="EN46" s="1" t="b" cm="1">
        <f t="array" ref="EN46">OneVX(DV62,DV78,DV14,DV30,DV46)</f>
        <v>0</v>
      </c>
      <c r="EO46" s="1" t="b">
        <f t="shared" si="30"/>
        <v>0</v>
      </c>
      <c r="EP46" s="1" t="str" cm="1">
        <f t="array" ref="EP46:EU46">DetermineKill(ConvertToRoundTime(secandmin(BS14),secandmin(CJ32),BT14),BR14,BV14,BW14,BU14,BY14,BX14,$O$4)</f>
        <v>NOLOC</v>
      </c>
      <c r="EQ46" s="1" t="b">
        <v>0</v>
      </c>
      <c r="ER46" s="1" t="b">
        <v>0</v>
      </c>
      <c r="ES46" s="1" t="b">
        <v>0</v>
      </c>
      <c r="ET46" s="1" t="b">
        <v>0</v>
      </c>
      <c r="EU46" s="1" t="b">
        <v>0</v>
      </c>
      <c r="EV46" s="1" t="str" cm="1">
        <f t="array" ref="EV46">DeathTraded(ES46,$O$4,DV14,$O$2,DV30,$O$3,DV46,$O$4,DV62,$O$5,DV78,$O$6,$R$2)</f>
        <v>N/A</v>
      </c>
      <c r="EW46" s="1" t="str" cm="1">
        <f t="array" ref="EW46:FB46">DetermineKill(ConvertToRoundTime(secandmin(CB14),secandmin(CJ32),CC14),CA14,CE14,CF14,CD14,CH14,CG14,$O$4)</f>
        <v>NOLOC</v>
      </c>
      <c r="EX46" s="1" t="b">
        <v>0</v>
      </c>
      <c r="EY46" s="1" t="b">
        <v>0</v>
      </c>
      <c r="EZ46" s="1" t="b">
        <v>0</v>
      </c>
      <c r="FA46" s="1" t="b">
        <v>0</v>
      </c>
      <c r="FB46" s="1" t="b">
        <v>0</v>
      </c>
      <c r="FC46" s="1" t="str" cm="1">
        <f t="array" ref="FC46">DeathTraded(EZ46,$O$4,DV14,$O$2,DV30,$O$3,DV46,$O$4,DV62,$O$5,DV78,$O$6,$R$2)</f>
        <v>N/A</v>
      </c>
      <c r="FD46" s="1" t="str" cm="1">
        <f t="array" ref="FD46:FI46">DetermineKill(ConvertToRoundTime(secandmin(CK14),secandmin(CJ32),CL14),CJ14,CN14,CO14,CM14,CQ14,CP14,$O$4)</f>
        <v>NOLOC</v>
      </c>
      <c r="FE46" s="1" t="b">
        <v>0</v>
      </c>
      <c r="FF46" s="1" t="b">
        <v>0</v>
      </c>
      <c r="FG46" s="1" t="b">
        <v>0</v>
      </c>
      <c r="FH46" s="1" t="b">
        <v>0</v>
      </c>
      <c r="FI46" s="1" t="b">
        <v>0</v>
      </c>
      <c r="FJ46" s="1" t="str" cm="1">
        <f t="array" ref="FJ46">DeathTraded(FG46,$O$4,DV14,$O$2,DV30,$O$3,DV46,$O$4,DV62,$O$5,DV78,$O$6,$R$2)</f>
        <v>N/A</v>
      </c>
      <c r="FK46" s="1" t="str" cm="1">
        <f t="array" ref="FK46:FP46">DetermineKill(ConvertToRoundTime(secandmin(CT14),secandmin(CJ32),CU14),CS14,CW14,CX14,CV14,CZ14,CY14,$O$4)</f>
        <v>NOLOC</v>
      </c>
      <c r="FL46" s="1" t="b">
        <v>0</v>
      </c>
      <c r="FM46" s="1" t="b">
        <v>0</v>
      </c>
      <c r="FN46" s="1" t="b">
        <v>0</v>
      </c>
      <c r="FO46" s="1" t="b">
        <v>0</v>
      </c>
      <c r="FP46" s="1" t="b">
        <v>0</v>
      </c>
      <c r="FQ46" s="1" t="str" cm="1">
        <f t="array" ref="FQ46">DeathTraded(FN46,$O$4,DV14,$O$2,DV30,$O$3,DV46,$O$4,DV62,$O$5,DV78,$O$6,$R$2)</f>
        <v>N/A</v>
      </c>
      <c r="FR46" s="1" t="str" cm="1">
        <f t="array" ref="FR46:FW46">DetermineKill(ConvertToRoundTime(secandmin(DC14),secandmin(CJ32),DD14),DB14,DF14,DG14,DE14,DI14,DH14,$O$4)</f>
        <v>NOLOC</v>
      </c>
      <c r="FS46" s="1" t="b">
        <v>0</v>
      </c>
      <c r="FT46" s="1" t="b">
        <v>0</v>
      </c>
      <c r="FU46" s="1" t="b">
        <v>0</v>
      </c>
      <c r="FV46" s="1" t="b">
        <v>0</v>
      </c>
      <c r="FW46" s="1" t="b">
        <v>0</v>
      </c>
      <c r="FX46" s="1" t="str" cm="1">
        <f t="array" ref="FX46">DeathTraded(FU46,$O$4,DV14,$O$2,DV30,$O$3,DV46,$O$4,DV62,$O$5,DV78,$O$6,$R$2)</f>
        <v>N/A</v>
      </c>
      <c r="FY46" s="4">
        <v>8</v>
      </c>
      <c r="FZ46" s="1">
        <f t="shared" si="31"/>
        <v>0</v>
      </c>
      <c r="GA46" s="21">
        <f t="shared" si="32"/>
        <v>0</v>
      </c>
      <c r="GB46" s="1" t="str">
        <f t="shared" si="25"/>
        <v>NODATA</v>
      </c>
      <c r="GC46" s="13" t="str">
        <f t="shared" si="33"/>
        <v>NODATA</v>
      </c>
      <c r="GD46" s="1" t="str">
        <f t="shared" si="34"/>
        <v>NODATA</v>
      </c>
      <c r="GE46" s="1" t="str">
        <f t="shared" si="35"/>
        <v>NODATA</v>
      </c>
      <c r="GF46" s="1" t="str" cm="1">
        <f t="array" ref="GF46">IF($V$2=TRUE,IF(CH32="Attack",ConvertToRoundTime(secandmin(BO32),secandmin(CJ32),BP32),""),"NO DATA")</f>
        <v/>
      </c>
      <c r="GG46" s="1" t="str" cm="1">
        <f t="array" ref="GG46">IF($V$2=TRUE,IF(CH32="Attack",ConvertToRoundTime(secandmin(BQ32),secandmin(CJ32),BR32),""),"NO DATA")</f>
        <v/>
      </c>
    </row>
    <row r="47" spans="27:189" x14ac:dyDescent="0.25">
      <c r="AB47" s="4">
        <v>6</v>
      </c>
      <c r="AC47" s="39"/>
      <c r="AD47" s="15"/>
      <c r="AE47" s="39"/>
      <c r="AF47" s="15"/>
      <c r="AG47" s="39"/>
      <c r="DP47" s="37"/>
      <c r="DQ47" s="48" t="str">
        <f ca="1">A2</f>
        <v>8_22 Skyscraper_1</v>
      </c>
      <c r="DR47" s="5">
        <v>9</v>
      </c>
      <c r="DS47" s="1" t="str">
        <v>Defense</v>
      </c>
      <c r="DT47" s="1" t="str">
        <f t="shared" si="26"/>
        <v>Ozone</v>
      </c>
      <c r="DU47" s="1" t="str">
        <v>Smoke</v>
      </c>
      <c r="DV47" s="21" cm="1">
        <f t="array" ref="DV47">ConvertToRoundTime(secandmin(AS15),secandmin(CJ33),AT15)</f>
        <v>149</v>
      </c>
      <c r="DW47" s="1" t="str">
        <v>Kiru</v>
      </c>
      <c r="DX47" s="1" t="b" cm="1">
        <f t="array" ref="DX47">DeathRefragged(DV47,MAX(ES15,ES31,ES47,ES63,ES79,FA96),MAX(EZ15,EZ31,EZ47,EZ63,EZ79,FI96),MAX(FG15,FG31,FG47,FG63,FG79,FP96),MAX(FN15,FN31,FN47,FN63,FN79,FW96),MAX(FU15,FU31,FU47,FU63,FU79,GD96),$Q$2)</f>
        <v>0</v>
      </c>
      <c r="DY47" s="1" t="b" cm="1">
        <f t="array" ref="DY47">DeathTraded(DV47,DW47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47" s="1" t="b">
        <v>0</v>
      </c>
      <c r="EA47" s="1" t="str">
        <v>NOLOC</v>
      </c>
      <c r="EB47" s="1" t="b" cm="1">
        <f t="array" ref="EB47">OpeningDeath(MAX(ES15,ES31,ES47,ES63,ES79),DV47,DV15,DV31,DV63,DV79)</f>
        <v>0</v>
      </c>
      <c r="EC47" s="1" t="b" cm="1">
        <f t="array" ref="EC47">EntryDeath(DV47,DV31,DV15,DV63,DV79)</f>
        <v>0</v>
      </c>
      <c r="ED47" s="5">
        <v>9</v>
      </c>
      <c r="EE47" s="1">
        <f t="shared" si="24"/>
        <v>0</v>
      </c>
      <c r="EF47" s="1">
        <f t="shared" si="27"/>
        <v>0</v>
      </c>
      <c r="EG47" s="1">
        <f t="shared" si="28"/>
        <v>0</v>
      </c>
      <c r="EH47" s="1" cm="1">
        <f t="array" ref="EH47">ExitFrag(EN47,MAX(DV15,DV31,DV63,DV79),MAX(ES15,ES31,ES47,ES63,ES79,FA96),MAX(EZ15,EZ31,EZ47,EZ63,EZ79,FI96),MAX(FG15,FG31,FG47,FG63,FG79,FP96),MAX(FN15,FN31,FN47,FN63,FN79,FW96),MAX(FU15,FU31,FU47,FU63,FU79,GD96))</f>
        <v>0</v>
      </c>
      <c r="EI47" s="1" t="b" cm="1">
        <f t="array" ref="EI47">OpeningKill(ES47,ES31,ES15,ES63,ES79,FB96,DV15,DV31,DV47,DV63,DV79)</f>
        <v>0</v>
      </c>
      <c r="EJ47" s="1" t="b">
        <f t="shared" si="29"/>
        <v>0</v>
      </c>
      <c r="EK47" s="5">
        <v>9</v>
      </c>
      <c r="EL47" s="1" t="b">
        <v>0</v>
      </c>
      <c r="EM47" s="1" t="b" cm="1">
        <f t="array" ref="EM47">IF(NOT(ISBLANK(CP33)),KOST(EE47,DY47,DV47,EL47),"NOT PLAYED")</f>
        <v>0</v>
      </c>
      <c r="EN47" s="1" t="b" cm="1">
        <f t="array" ref="EN47">OneVX(DV63,DV79,DV15,DV31,DV47)</f>
        <v>0</v>
      </c>
      <c r="EO47" s="1" t="b">
        <f t="shared" si="30"/>
        <v>0</v>
      </c>
      <c r="EP47" s="1" t="str" cm="1">
        <f t="array" ref="EP47:EU47">DetermineKill(ConvertToRoundTime(secandmin(BS15),secandmin(CJ33),BT15),BR15,BV15,BW15,BU15,BY15,BX15,$O$4)</f>
        <v>NOLOC</v>
      </c>
      <c r="EQ47" s="1" t="b">
        <v>0</v>
      </c>
      <c r="ER47" s="1" t="b">
        <v>0</v>
      </c>
      <c r="ES47" s="1" t="b">
        <v>0</v>
      </c>
      <c r="ET47" s="1" t="b">
        <v>0</v>
      </c>
      <c r="EU47" s="1" t="b">
        <v>0</v>
      </c>
      <c r="EV47" s="1" t="str" cm="1">
        <f t="array" ref="EV47">DeathTraded(ES47,$O$4,DV15,$O$2,DV31,$O$3,DV47,$O$4,DV63,$O$5,DV79,$O$6,$R$2)</f>
        <v>N/A</v>
      </c>
      <c r="EW47" s="1" t="str" cm="1">
        <f t="array" ref="EW47:FB47">DetermineKill(ConvertToRoundTime(secandmin(CB15),secandmin(CJ33),CC15),CA15,CE15,CF15,CD15,CH15,CG15,$O$4)</f>
        <v>NOLOC</v>
      </c>
      <c r="EX47" s="1" t="b">
        <v>0</v>
      </c>
      <c r="EY47" s="1" t="b">
        <v>0</v>
      </c>
      <c r="EZ47" s="1" t="b">
        <v>0</v>
      </c>
      <c r="FA47" s="1" t="b">
        <v>0</v>
      </c>
      <c r="FB47" s="1" t="b">
        <v>0</v>
      </c>
      <c r="FC47" s="1" t="str" cm="1">
        <f t="array" ref="FC47">DeathTraded(EZ47,$O$4,DV15,$O$2,DV31,$O$3,DV47,$O$4,DV63,$O$5,DV79,$O$6,$R$2)</f>
        <v>N/A</v>
      </c>
      <c r="FD47" s="1" t="str" cm="1">
        <f t="array" ref="FD47:FI47">DetermineKill(ConvertToRoundTime(secandmin(CK15),secandmin(CJ33),CL15),CJ15,CN15,CO15,CM15,CQ15,CP15,$O$4)</f>
        <v>NOLOC</v>
      </c>
      <c r="FE47" s="1" t="b">
        <v>0</v>
      </c>
      <c r="FF47" s="1" t="b">
        <v>0</v>
      </c>
      <c r="FG47" s="1" t="b">
        <v>0</v>
      </c>
      <c r="FH47" s="1" t="b">
        <v>0</v>
      </c>
      <c r="FI47" s="1" t="b">
        <v>0</v>
      </c>
      <c r="FJ47" s="1" t="str" cm="1">
        <f t="array" ref="FJ47">DeathTraded(FG47,$O$4,DV15,$O$2,DV31,$O$3,DV47,$O$4,DV63,$O$5,DV79,$O$6,$R$2)</f>
        <v>N/A</v>
      </c>
      <c r="FK47" s="1" t="str" cm="1">
        <f t="array" ref="FK47:FP47">DetermineKill(ConvertToRoundTime(secandmin(CT15),secandmin(CJ33),CU15),CS15,CW15,CX15,CV15,CZ15,CY15,$O$4)</f>
        <v>NOLOC</v>
      </c>
      <c r="FL47" s="1" t="b">
        <v>0</v>
      </c>
      <c r="FM47" s="1" t="b">
        <v>0</v>
      </c>
      <c r="FN47" s="1" t="b">
        <v>0</v>
      </c>
      <c r="FO47" s="1" t="b">
        <v>0</v>
      </c>
      <c r="FP47" s="1" t="b">
        <v>0</v>
      </c>
      <c r="FQ47" s="1" t="str" cm="1">
        <f t="array" ref="FQ47">DeathTraded(FN47,$O$4,DV15,$O$2,DV31,$O$3,DV47,$O$4,DV63,$O$5,DV79,$O$6,$R$2)</f>
        <v>N/A</v>
      </c>
      <c r="FR47" s="1" t="str" cm="1">
        <f t="array" ref="FR47:FW47">DetermineKill(ConvertToRoundTime(secandmin(DC15),secandmin(CJ33),DD15),DB15,DF15,DG15,DE15,DI15,DH15,$O$4)</f>
        <v>NOLOC</v>
      </c>
      <c r="FS47" s="1" t="b">
        <v>0</v>
      </c>
      <c r="FT47" s="1" t="b">
        <v>0</v>
      </c>
      <c r="FU47" s="1" t="b">
        <v>0</v>
      </c>
      <c r="FV47" s="1" t="b">
        <v>0</v>
      </c>
      <c r="FW47" s="1" t="b">
        <v>0</v>
      </c>
      <c r="FX47" s="1" t="str" cm="1">
        <f t="array" ref="FX47">DeathTraded(FU47,$O$4,DV15,$O$2,DV31,$O$3,DV47,$O$4,DV63,$O$5,DV79,$O$6,$R$2)</f>
        <v>N/A</v>
      </c>
      <c r="FY47" s="5">
        <v>9</v>
      </c>
      <c r="FZ47" s="1">
        <f t="shared" si="31"/>
        <v>0</v>
      </c>
      <c r="GA47" s="21">
        <f t="shared" si="32"/>
        <v>0</v>
      </c>
      <c r="GB47" s="1" t="str">
        <f t="shared" si="25"/>
        <v>NODATA</v>
      </c>
      <c r="GC47" s="13" t="str">
        <f t="shared" si="33"/>
        <v>NODATA</v>
      </c>
      <c r="GD47" s="1" t="str">
        <f t="shared" si="34"/>
        <v>NODATA</v>
      </c>
      <c r="GE47" s="1" t="str">
        <f t="shared" si="35"/>
        <v>NODATA</v>
      </c>
      <c r="GF47" s="1" t="str" cm="1">
        <f t="array" ref="GF47">IF($V$2=TRUE,IF(CH33="Attack",ConvertToRoundTime(secandmin(BO33),secandmin(CJ33),BP33),""),"NO DATA")</f>
        <v/>
      </c>
      <c r="GG47" s="1" t="str" cm="1">
        <f t="array" ref="GG47">IF($V$2=TRUE,IF(CH33="Attack",ConvertToRoundTime(secandmin(BQ33),secandmin(CJ33),BR33),""),"NO DATA")</f>
        <v/>
      </c>
    </row>
    <row r="48" spans="27:189" x14ac:dyDescent="0.25">
      <c r="AB48" s="5">
        <v>7</v>
      </c>
      <c r="AC48" s="38"/>
      <c r="AD48" s="14"/>
      <c r="AE48" s="38"/>
      <c r="AF48" s="14"/>
      <c r="AG48" s="38"/>
      <c r="DP48" s="37"/>
      <c r="DQ48" s="48" t="str">
        <f ca="1">A2</f>
        <v>8_22 Skyscraper_1</v>
      </c>
      <c r="DR48" s="4">
        <v>10</v>
      </c>
      <c r="DS48" s="1" t="str">
        <v>Defense</v>
      </c>
      <c r="DT48" s="1" t="str">
        <f t="shared" si="26"/>
        <v>Ozone</v>
      </c>
      <c r="DU48" s="1" t="str">
        <v>Smoke</v>
      </c>
      <c r="DV48" s="21" cm="1">
        <f t="array" ref="DV48">ConvertToRoundTime(secandmin(AS16),secandmin(CJ34),AT16)</f>
        <v>85</v>
      </c>
      <c r="DW48" s="1" t="str">
        <v>Kiru</v>
      </c>
      <c r="DX48" s="1" t="b" cm="1">
        <f t="array" ref="DX48">DeathRefragged(DV48,MAX(ES16,ES32,ES48,ES64,ES80,FA97),MAX(EZ16,EZ32,EZ48,EZ64,EZ80,FI97),MAX(FG16,FG32,FG48,FG64,FG80,FP97),MAX(FN16,FN32,FN48,FN64,FN80,FW97),MAX(FU16,FU32,FU48,FU64,FU80,GD97),$Q$2)</f>
        <v>0</v>
      </c>
      <c r="DY48" s="1" t="b" cm="1">
        <f t="array" ref="DY48">DeathTraded(DV48,DW48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1</v>
      </c>
      <c r="DZ48" s="1" t="b">
        <v>0</v>
      </c>
      <c r="EA48" s="1" t="str">
        <v>NOLOC</v>
      </c>
      <c r="EB48" s="1" t="b" cm="1">
        <f t="array" ref="EB48">OpeningDeath(MAX(ES16,ES32,ES48,ES64,ES80),DV48,DV16,DV32,DV64,DV80)</f>
        <v>0</v>
      </c>
      <c r="EC48" s="1" t="b" cm="1">
        <f t="array" ref="EC48">EntryDeath(DV48,DV32,DV16,DV64,DV80)</f>
        <v>1</v>
      </c>
      <c r="ED48" s="4">
        <v>10</v>
      </c>
      <c r="EE48" s="1">
        <f t="shared" si="24"/>
        <v>2</v>
      </c>
      <c r="EF48" s="1">
        <f t="shared" si="27"/>
        <v>1</v>
      </c>
      <c r="EG48" s="1">
        <f t="shared" si="28"/>
        <v>1</v>
      </c>
      <c r="EH48" s="1" cm="1">
        <f t="array" ref="EH48">ExitFrag(EN48,MAX(DV16,DV32,DV64,DV80),MAX(ES16,ES32,ES48,ES64,ES80,FA97),MAX(EZ16,EZ32,EZ48,EZ64,EZ80,FI97),MAX(FG16,FG32,FG48,FG64,FG80,FP97),MAX(FN16,FN32,FN48,FN64,FN80,FW97),MAX(FU16,FU32,FU48,FU64,FU80,GD97))</f>
        <v>0</v>
      </c>
      <c r="EI48" s="1" t="b" cm="1">
        <f t="array" ref="EI48">OpeningKill(ES48,ES32,ES16,ES64,ES80,FB97,DV16,DV32,DV48,DV64,DV80)</f>
        <v>0</v>
      </c>
      <c r="EJ48" s="1" t="b">
        <f t="shared" si="29"/>
        <v>0</v>
      </c>
      <c r="EK48" s="4">
        <v>10</v>
      </c>
      <c r="EL48" s="1" t="b">
        <v>0</v>
      </c>
      <c r="EM48" s="1" t="b" cm="1">
        <f t="array" ref="EM48">IF(NOT(ISBLANK(CP34)),KOST(EE48,DY48,DV48,EL48),"NOT PLAYED")</f>
        <v>1</v>
      </c>
      <c r="EN48" s="1" t="b" cm="1">
        <f t="array" ref="EN48">OneVX(DV64,DV80,DV16,DV32,DV48)</f>
        <v>0</v>
      </c>
      <c r="EO48" s="1" t="b">
        <f t="shared" si="30"/>
        <v>0</v>
      </c>
      <c r="EP48" s="1" t="str" cm="1">
        <f t="array" ref="EP48:EU48">DetermineKill(ConvertToRoundTime(secandmin(BS16),secandmin(CJ34),BT16),BR16,BV16,BW16,BU16,BY16,BX16,$O$4)</f>
        <v>NOLOC</v>
      </c>
      <c r="EQ48" s="1" t="b">
        <v>0</v>
      </c>
      <c r="ER48" s="1" t="b">
        <v>0</v>
      </c>
      <c r="ES48" s="1" t="b">
        <v>0</v>
      </c>
      <c r="ET48" s="1" t="b">
        <v>0</v>
      </c>
      <c r="EU48" s="1" t="b">
        <v>0</v>
      </c>
      <c r="EV48" s="1" t="str" cm="1">
        <f t="array" ref="EV48">DeathTraded(ES48,$O$4,DV16,$O$2,DV32,$O$3,DV48,$O$4,DV64,$O$5,DV80,$O$6,$R$2)</f>
        <v>N/A</v>
      </c>
      <c r="EW48" s="1" t="str" cm="1">
        <f t="array" ref="EW48:FB48">DetermineKill(ConvertToRoundTime(secandmin(CB16),secandmin(CJ34),CC16),CA16,CE16,CF16,CD16,CH16,CG16,$O$4)</f>
        <v>NOLOC</v>
      </c>
      <c r="EX48" s="1" t="b">
        <v>0</v>
      </c>
      <c r="EY48" s="1" t="b">
        <v>0</v>
      </c>
      <c r="EZ48" s="1" t="b">
        <v>0</v>
      </c>
      <c r="FA48" s="1" t="b">
        <v>0</v>
      </c>
      <c r="FB48" s="1" t="b">
        <v>0</v>
      </c>
      <c r="FC48" s="1" t="str" cm="1">
        <f t="array" ref="FC48">DeathTraded(EZ48,$O$4,DV16,$O$2,DV32,$O$3,DV48,$O$4,DV64,$O$5,DV80,$O$6,$R$2)</f>
        <v>N/A</v>
      </c>
      <c r="FD48" s="1" t="str" cm="1">
        <f t="array" ref="FD48:FI48">DetermineKill(ConvertToRoundTime(secandmin(CK16),secandmin(CJ34),CL16),CJ16,CN16,CO16,CM16,CQ16,CP16,$O$4)</f>
        <v>UNKNOWN</v>
      </c>
      <c r="FE48" s="1" t="b">
        <v>0</v>
      </c>
      <c r="FF48" s="1" t="str">
        <v>Kiru</v>
      </c>
      <c r="FG48" s="1">
        <v>122</v>
      </c>
      <c r="FH48" s="1" t="b">
        <v>0</v>
      </c>
      <c r="FI48" s="1" t="b">
        <v>1</v>
      </c>
      <c r="FJ48" s="1" t="b" cm="1">
        <f t="array" ref="FJ48">DeathTraded(FG48,$O$4,DV16,$O$2,DV32,$O$3,DV48,$O$4,DV64,$O$5,DV80,$O$6,$R$2)</f>
        <v>0</v>
      </c>
      <c r="FK48" s="1" t="str" cm="1">
        <f t="array" ref="FK48:FP48">DetermineKill(ConvertToRoundTime(secandmin(CT16),secandmin(CJ34),CU16),CS16,CW16,CX16,CV16,CZ16,CY16,$O$4)</f>
        <v>NOLOC</v>
      </c>
      <c r="FL48" s="1" t="b">
        <v>0</v>
      </c>
      <c r="FM48" s="1" t="b">
        <v>0</v>
      </c>
      <c r="FN48" s="1" t="b">
        <v>0</v>
      </c>
      <c r="FO48" s="1" t="b">
        <v>0</v>
      </c>
      <c r="FP48" s="1" t="b">
        <v>0</v>
      </c>
      <c r="FQ48" s="1" t="str" cm="1">
        <f t="array" ref="FQ48">DeathTraded(FN48,$O$4,DV16,$O$2,DV32,$O$3,DV48,$O$4,DV64,$O$5,DV80,$O$6,$R$2)</f>
        <v>N/A</v>
      </c>
      <c r="FR48" s="1" t="str" cm="1">
        <f t="array" ref="FR48:FW48">DetermineKill(ConvertToRoundTime(secandmin(DC16),secandmin(CJ34),DD16),DB16,DF16,DG16,DE16,DI16,DH16,$O$4)</f>
        <v>UNKNOWN</v>
      </c>
      <c r="FS48" s="1" t="b">
        <v>1</v>
      </c>
      <c r="FT48" s="1" t="str">
        <v>Rival</v>
      </c>
      <c r="FU48" s="1">
        <v>154</v>
      </c>
      <c r="FV48" s="1" t="b">
        <v>0</v>
      </c>
      <c r="FW48" s="1" t="b">
        <v>0</v>
      </c>
      <c r="FX48" s="1" t="b" cm="1">
        <f t="array" ref="FX48">DeathTraded(FU48,$O$4,DV16,$O$2,DV32,$O$3,DV48,$O$4,DV64,$O$5,DV80,$O$6,$R$2)</f>
        <v>0</v>
      </c>
      <c r="FY48" s="4">
        <v>10</v>
      </c>
      <c r="FZ48" s="1">
        <f t="shared" si="31"/>
        <v>0</v>
      </c>
      <c r="GA48" s="21">
        <f t="shared" si="32"/>
        <v>0</v>
      </c>
      <c r="GB48" s="1" t="str">
        <f t="shared" si="25"/>
        <v>NODATA</v>
      </c>
      <c r="GC48" s="13" t="str">
        <f t="shared" si="33"/>
        <v>NODATA</v>
      </c>
      <c r="GD48" s="1" t="str">
        <f t="shared" si="34"/>
        <v>NODATA</v>
      </c>
      <c r="GE48" s="1" t="str">
        <f t="shared" si="35"/>
        <v>NODATA</v>
      </c>
      <c r="GF48" s="1" t="str" cm="1">
        <f t="array" ref="GF48">IF($V$2=TRUE,IF(CH34="Attack",ConvertToRoundTime(secandmin(BO34),secandmin(CJ34),BP34),""),"NO DATA")</f>
        <v/>
      </c>
      <c r="GG48" s="1" t="str" cm="1">
        <f t="array" ref="GG48">IF($V$2=TRUE,IF(CH34="Attack",ConvertToRoundTime(secandmin(BQ34),secandmin(CJ34),BR34),""),"NO DATA")</f>
        <v/>
      </c>
    </row>
    <row r="49" spans="28:189" x14ac:dyDescent="0.25">
      <c r="AB49" s="4">
        <v>8</v>
      </c>
      <c r="AC49" s="39"/>
      <c r="AD49" s="15"/>
      <c r="AE49" s="39"/>
      <c r="AF49" s="15"/>
      <c r="AG49" s="39"/>
      <c r="DP49" s="37"/>
      <c r="DQ49" s="48" t="str">
        <f ca="1">A2</f>
        <v>8_22 Skyscraper_1</v>
      </c>
      <c r="DR49" s="5">
        <v>11</v>
      </c>
      <c r="DS49" s="1" t="str">
        <v>Defense</v>
      </c>
      <c r="DT49" s="1" t="str">
        <f t="shared" si="26"/>
        <v>Ozone</v>
      </c>
      <c r="DU49" s="1" t="str">
        <v>Alibi</v>
      </c>
      <c r="DV49" s="21" t="b" cm="1">
        <f t="array" ref="DV49">ConvertToRoundTime(secandmin(AS17),secandmin(CJ35),AT17)</f>
        <v>0</v>
      </c>
      <c r="DW49" s="1" t="b">
        <v>0</v>
      </c>
      <c r="DX49" s="1" t="str" cm="1">
        <f t="array" ref="DX49">DeathRefragged(DV49,MAX(ES17,ES33,ES49,ES65,ES81,FA98),MAX(EZ17,EZ33,EZ49,EZ65,EZ81,FI98),MAX(FG17,FG33,FG49,FG65,FG81,FP98),MAX(FN17,FN33,FN49,FN65,FN81,FW98),MAX(FU17,FU33,FU49,FU65,FU81,GD98),$Q$2)</f>
        <v>N/A</v>
      </c>
      <c r="DY49" s="1" t="str" cm="1">
        <f t="array" ref="DY49">DeathTraded(DV49,DW49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49" s="1" t="b">
        <v>0</v>
      </c>
      <c r="EA49" s="1" t="str">
        <v>NOLOC</v>
      </c>
      <c r="EB49" s="1" t="b" cm="1">
        <f t="array" ref="EB49">OpeningDeath(MAX(ES17,ES33,ES49,ES65,ES81),DV49,DV17,DV33,DV65,DV81)</f>
        <v>0</v>
      </c>
      <c r="EC49" s="1" t="b" cm="1">
        <f t="array" ref="EC49">EntryDeath(DV49,DV33,DV17,DV65,DV81)</f>
        <v>0</v>
      </c>
      <c r="ED49" s="5">
        <v>11</v>
      </c>
      <c r="EE49" s="1">
        <f t="shared" si="24"/>
        <v>2</v>
      </c>
      <c r="EF49" s="1">
        <f t="shared" si="27"/>
        <v>1</v>
      </c>
      <c r="EG49" s="1">
        <f t="shared" si="28"/>
        <v>0</v>
      </c>
      <c r="EH49" s="1" cm="1">
        <f t="array" ref="EH49">ExitFrag(EN49,MAX(DV17,DV33,DV65,DV81),MAX(ES17,ES33,ES49,ES65,ES81,FA98),MAX(EZ17,EZ33,EZ49,EZ65,EZ81,FI98),MAX(FG17,FG33,FG49,FG65,FG81,FP98),MAX(FN17,FN33,FN49,FN65,FN81,FW98),MAX(FU17,FU33,FU49,FU65,FU81,GD98))</f>
        <v>0</v>
      </c>
      <c r="EI49" s="1" t="b" cm="1">
        <f t="array" ref="EI49">OpeningKill(ES49,ES33,ES17,ES65,ES81,FB98,DV17,DV33,DV49,DV65,DV81)</f>
        <v>0</v>
      </c>
      <c r="EJ49" s="1" t="b">
        <f t="shared" si="29"/>
        <v>0</v>
      </c>
      <c r="EK49" s="5">
        <v>11</v>
      </c>
      <c r="EL49" s="1" t="b">
        <v>0</v>
      </c>
      <c r="EM49" s="1" t="b" cm="1">
        <f t="array" ref="EM49">IF(NOT(ISBLANK(CP35)),KOST(EE49,DY49,DV49,EL49),"NOT PLAYED")</f>
        <v>1</v>
      </c>
      <c r="EN49" s="1" t="b" cm="1">
        <f t="array" ref="EN49">OneVX(DV65,DV81,DV17,DV33,DV49)</f>
        <v>0</v>
      </c>
      <c r="EO49" s="1" t="b">
        <f t="shared" si="30"/>
        <v>0</v>
      </c>
      <c r="EP49" s="1" t="str" cm="1">
        <f t="array" ref="EP49:EU49">DetermineKill(ConvertToRoundTime(secandmin(BS17),secandmin(CJ35),BT17),BR17,BV17,BW17,BU17,BY17,BX17,$O$4)</f>
        <v>NOLOC</v>
      </c>
      <c r="EQ49" s="1" t="b">
        <v>0</v>
      </c>
      <c r="ER49" s="1" t="b">
        <v>0</v>
      </c>
      <c r="ES49" s="1" t="b">
        <v>0</v>
      </c>
      <c r="ET49" s="1" t="b">
        <v>0</v>
      </c>
      <c r="EU49" s="1" t="b">
        <v>0</v>
      </c>
      <c r="EV49" s="1" t="str" cm="1">
        <f t="array" ref="EV49">DeathTraded(ES49,$O$4,DV17,$O$2,DV33,$O$3,DV49,$O$4,DV65,$O$5,DV81,$O$6,$R$2)</f>
        <v>N/A</v>
      </c>
      <c r="EW49" s="1" t="str" cm="1">
        <f t="array" ref="EW49:FB49">DetermineKill(ConvertToRoundTime(secandmin(CB17),secandmin(CJ35),CC17),CA17,CE17,CF17,CD17,CH17,CG17,$O$4)</f>
        <v>NOLOC</v>
      </c>
      <c r="EX49" s="1" t="b">
        <v>0</v>
      </c>
      <c r="EY49" s="1" t="b">
        <v>0</v>
      </c>
      <c r="EZ49" s="1" t="b">
        <v>0</v>
      </c>
      <c r="FA49" s="1" t="b">
        <v>0</v>
      </c>
      <c r="FB49" s="1" t="b">
        <v>0</v>
      </c>
      <c r="FC49" s="1" t="str" cm="1">
        <f t="array" ref="FC49">DeathTraded(EZ49,$O$4,DV17,$O$2,DV33,$O$3,DV49,$O$4,DV65,$O$5,DV81,$O$6,$R$2)</f>
        <v>N/A</v>
      </c>
      <c r="FD49" s="1" t="str" cm="1">
        <f t="array" ref="FD49:FI49">DetermineKill(ConvertToRoundTime(secandmin(CK17),secandmin(CJ35),CL17),CJ17,CN17,CO17,CM17,CQ17,CP17,$O$4)</f>
        <v>UNKNOWN</v>
      </c>
      <c r="FE49" s="1" t="b">
        <v>0</v>
      </c>
      <c r="FF49" s="1" t="str">
        <v>Rival</v>
      </c>
      <c r="FG49" s="1">
        <v>86</v>
      </c>
      <c r="FH49" s="1" t="b">
        <v>0</v>
      </c>
      <c r="FI49" s="1" t="b">
        <v>1</v>
      </c>
      <c r="FJ49" s="1" t="b" cm="1">
        <f t="array" ref="FJ49">DeathTraded(FG49,$O$4,DV17,$O$2,DV33,$O$3,DV49,$O$4,DV65,$O$5,DV81,$O$6,$R$2)</f>
        <v>0</v>
      </c>
      <c r="FK49" s="1" t="str" cm="1">
        <f t="array" ref="FK49:FP49">DetermineKill(ConvertToRoundTime(secandmin(CT17),secandmin(CJ35),CU17),CS17,CW17,CX17,CV17,CZ17,CY17,$O$4)</f>
        <v>UNKNOWN</v>
      </c>
      <c r="FL49" s="1" t="b">
        <v>0</v>
      </c>
      <c r="FM49" s="1" t="str">
        <v>Floofs</v>
      </c>
      <c r="FN49" s="1">
        <v>127</v>
      </c>
      <c r="FO49" s="1" t="b">
        <v>0</v>
      </c>
      <c r="FP49" s="1" t="b">
        <v>0</v>
      </c>
      <c r="FQ49" s="1" t="b" cm="1">
        <f t="array" ref="FQ49">DeathTraded(FN49,$O$4,DV17,$O$2,DV33,$O$3,DV49,$O$4,DV65,$O$5,DV81,$O$6,$R$2)</f>
        <v>0</v>
      </c>
      <c r="FR49" s="1" t="str" cm="1">
        <f t="array" ref="FR49:FW49">DetermineKill(ConvertToRoundTime(secandmin(DC17),secandmin(CJ35),DD17),DB17,DF17,DG17,DE17,DI17,DH17,$O$4)</f>
        <v>NOLOC</v>
      </c>
      <c r="FS49" s="1" t="b">
        <v>0</v>
      </c>
      <c r="FT49" s="1" t="b">
        <v>0</v>
      </c>
      <c r="FU49" s="1" t="b">
        <v>0</v>
      </c>
      <c r="FV49" s="1" t="b">
        <v>0</v>
      </c>
      <c r="FW49" s="1" t="b">
        <v>0</v>
      </c>
      <c r="FX49" s="1" t="str" cm="1">
        <f t="array" ref="FX49">DeathTraded(FU49,$O$4,DV17,$O$2,DV33,$O$3,DV49,$O$4,DV65,$O$5,DV81,$O$6,$R$2)</f>
        <v>N/A</v>
      </c>
      <c r="FY49" s="5">
        <v>11</v>
      </c>
      <c r="FZ49" s="1">
        <f t="shared" si="31"/>
        <v>0</v>
      </c>
      <c r="GA49" s="21">
        <f t="shared" si="32"/>
        <v>0</v>
      </c>
      <c r="GB49" s="1" t="str">
        <f t="shared" si="25"/>
        <v>NODATA</v>
      </c>
      <c r="GC49" s="13" t="str">
        <f t="shared" si="33"/>
        <v>NODATA</v>
      </c>
      <c r="GD49" s="1" t="str">
        <f t="shared" si="34"/>
        <v>NODATA</v>
      </c>
      <c r="GE49" s="1" t="str">
        <f t="shared" si="35"/>
        <v>NODATA</v>
      </c>
      <c r="GF49" s="1" t="str" cm="1">
        <f t="array" ref="GF49">IF($V$2=TRUE,IF(CH35="Attack",ConvertToRoundTime(secandmin(BO35),secandmin(CJ35),BP35),""),"NO DATA")</f>
        <v/>
      </c>
      <c r="GG49" s="1" t="str" cm="1">
        <f t="array" ref="GG49">IF($V$2=TRUE,IF(CH35="Attack",ConvertToRoundTime(secandmin(BQ35),secandmin(CJ35),BR35),""),"NO DATA")</f>
        <v/>
      </c>
    </row>
    <row r="50" spans="28:189" x14ac:dyDescent="0.25">
      <c r="AB50" s="5">
        <v>9</v>
      </c>
      <c r="AC50" s="38"/>
      <c r="AD50" s="14"/>
      <c r="AE50" s="38"/>
      <c r="AF50" s="14"/>
      <c r="AG50" s="38"/>
      <c r="DP50" s="37"/>
      <c r="DQ50" s="48" t="str">
        <f ca="1">A2</f>
        <v>8_22 Skyscraper_1</v>
      </c>
      <c r="DR50" s="4">
        <v>12</v>
      </c>
      <c r="DS50" s="1" t="str">
        <v>Not Played</v>
      </c>
      <c r="DT50" s="1" t="str">
        <f t="shared" si="26"/>
        <v>Ozone</v>
      </c>
      <c r="DU50" s="1" t="str">
        <v>Not Played</v>
      </c>
      <c r="DV50" s="21" t="b" cm="1">
        <f t="array" ref="DV50">ConvertToRoundTime(secandmin(AS18),secandmin(CJ36),AT18)</f>
        <v>0</v>
      </c>
      <c r="DW50" s="1" t="b">
        <v>0</v>
      </c>
      <c r="DX50" s="1" t="str" cm="1">
        <f t="array" ref="DX50">DeathRefragged(DV50,MAX(ES18,ES34,ES50,ES66,ES82,FA99),MAX(EZ18,EZ34,EZ50,EZ66,EZ82,FI99),MAX(FG18,FG34,FG50,FG66,FG82,FP99),MAX(FN18,FN34,FN50,FN66,FN82,FW99),MAX(FU18,FU34,FU50,FU66,FU82,GD99),$Q$2)</f>
        <v>N/A</v>
      </c>
      <c r="DY50" s="1" t="str" cm="1">
        <f t="array" ref="DY50">DeathTraded(DV50,DW50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50" s="1" t="b">
        <v>0</v>
      </c>
      <c r="EA50" s="1" t="str">
        <v>NOLOC</v>
      </c>
      <c r="EB50" s="1" t="b" cm="1">
        <f t="array" ref="EB50">OpeningDeath(MAX(ES18,ES34,ES50,ES66,ES82),DV50,DV18,DV34,DV66,DV82)</f>
        <v>0</v>
      </c>
      <c r="EC50" s="1" t="b" cm="1">
        <f t="array" ref="EC50">EntryDeath(DV50,DV34,DV18,DV66,DV82)</f>
        <v>0</v>
      </c>
      <c r="ED50" s="4">
        <v>12</v>
      </c>
      <c r="EE50" s="1">
        <f t="shared" si="24"/>
        <v>0</v>
      </c>
      <c r="EF50" s="1">
        <f t="shared" si="27"/>
        <v>0</v>
      </c>
      <c r="EG50" s="1">
        <f t="shared" si="28"/>
        <v>0</v>
      </c>
      <c r="EH50" s="1" cm="1">
        <f t="array" ref="EH50">ExitFrag(EN50,MAX(DV18,DV34,DV66,DV82),MAX(ES18,ES34,ES50,ES66,ES82,FA99),MAX(EZ18,EZ34,EZ50,EZ66,EZ82,FI99),MAX(FG18,FG34,FG50,FG66,FG82,FP99),MAX(FN18,FN34,FN50,FN66,FN82,FW99),MAX(FU18,FU34,FU50,FU66,FU82,GD99))</f>
        <v>0</v>
      </c>
      <c r="EI50" s="1" t="b" cm="1">
        <f t="array" ref="EI50">OpeningKill(ES50,ES34,ES18,ES66,ES82,FB99,DV18,DV34,DV50,DV66,DV82)</f>
        <v>0</v>
      </c>
      <c r="EJ50" s="1" t="b">
        <f t="shared" si="29"/>
        <v>0</v>
      </c>
      <c r="EK50" s="4">
        <v>12</v>
      </c>
      <c r="EL50" s="1" t="b">
        <v>0</v>
      </c>
      <c r="EM50" s="1" t="str" cm="1">
        <f t="array" ref="EM50">IF(NOT(ISBLANK(CP36)),KOST(EE50,DY50,DV50,EL50),"NOT PLAYED")</f>
        <v>NOT PLAYED</v>
      </c>
      <c r="EN50" s="1" t="b" cm="1">
        <f t="array" ref="EN50">OneVX(DV66,DV82,DV18,DV34,DV50)</f>
        <v>0</v>
      </c>
      <c r="EO50" s="1" t="b">
        <f t="shared" si="30"/>
        <v>0</v>
      </c>
      <c r="EP50" s="1" t="str" cm="1">
        <f t="array" ref="EP50:EU50">DetermineKill(ConvertToRoundTime(secandmin(BS18),secandmin(CJ36),BT18),BR18,BV18,BW18,BU18,BY18,BX18,$O$4)</f>
        <v>NOLOC</v>
      </c>
      <c r="EQ50" s="1" t="b">
        <v>0</v>
      </c>
      <c r="ER50" s="1" t="b">
        <v>0</v>
      </c>
      <c r="ES50" s="1" t="b">
        <v>0</v>
      </c>
      <c r="ET50" s="1" t="b">
        <v>0</v>
      </c>
      <c r="EU50" s="1" t="b">
        <v>0</v>
      </c>
      <c r="EV50" s="1" t="str" cm="1">
        <f t="array" ref="EV50">DeathTraded(ES50,$O$4,DV18,$O$2,DV34,$O$3,DV50,$O$4,DV66,$O$5,DV82,$O$6,$R$2)</f>
        <v>N/A</v>
      </c>
      <c r="EW50" s="1" t="str" cm="1">
        <f t="array" ref="EW50:FB50">DetermineKill(ConvertToRoundTime(secandmin(CB18),secandmin(CJ36),CC18),CA18,CE18,CF18,CD18,CH18,CG18,$O$4)</f>
        <v>NOLOC</v>
      </c>
      <c r="EX50" s="1" t="b">
        <v>0</v>
      </c>
      <c r="EY50" s="1" t="b">
        <v>0</v>
      </c>
      <c r="EZ50" s="1" t="b">
        <v>0</v>
      </c>
      <c r="FA50" s="1" t="b">
        <v>0</v>
      </c>
      <c r="FB50" s="1" t="b">
        <v>0</v>
      </c>
      <c r="FC50" s="1" t="str" cm="1">
        <f t="array" ref="FC50">DeathTraded(EZ50,$O$4,DV18,$O$2,DV34,$O$3,DV50,$O$4,DV66,$O$5,DV82,$O$6,$R$2)</f>
        <v>N/A</v>
      </c>
      <c r="FD50" s="1" t="str" cm="1">
        <f t="array" ref="FD50:FI50">DetermineKill(ConvertToRoundTime(secandmin(CK18),secandmin(CJ36),CL18),CJ18,CN18,CO18,CM18,CQ18,CP18,$O$4)</f>
        <v>NOLOC</v>
      </c>
      <c r="FE50" s="1" t="b">
        <v>0</v>
      </c>
      <c r="FF50" s="1" t="b">
        <v>0</v>
      </c>
      <c r="FG50" s="1" t="b">
        <v>0</v>
      </c>
      <c r="FH50" s="1" t="b">
        <v>0</v>
      </c>
      <c r="FI50" s="1" t="b">
        <v>0</v>
      </c>
      <c r="FJ50" s="1" t="str" cm="1">
        <f t="array" ref="FJ50">DeathTraded(FG50,$O$4,DV18,$O$2,DV34,$O$3,DV50,$O$4,DV66,$O$5,DV82,$O$6,$R$2)</f>
        <v>N/A</v>
      </c>
      <c r="FK50" s="1" t="str" cm="1">
        <f t="array" ref="FK50:FP50">DetermineKill(ConvertToRoundTime(secandmin(CT18),secandmin(CJ36),CU18),CS18,CW18,CX18,CV18,CZ18,CY18,$O$4)</f>
        <v>NOLOC</v>
      </c>
      <c r="FL50" s="1" t="b">
        <v>0</v>
      </c>
      <c r="FM50" s="1" t="b">
        <v>0</v>
      </c>
      <c r="FN50" s="1" t="b">
        <v>0</v>
      </c>
      <c r="FO50" s="1" t="b">
        <v>0</v>
      </c>
      <c r="FP50" s="1" t="b">
        <v>0</v>
      </c>
      <c r="FQ50" s="1" t="str" cm="1">
        <f t="array" ref="FQ50">DeathTraded(FN50,$O$4,DV18,$O$2,DV34,$O$3,DV50,$O$4,DV66,$O$5,DV82,$O$6,$R$2)</f>
        <v>N/A</v>
      </c>
      <c r="FR50" s="1" t="str" cm="1">
        <f t="array" ref="FR50:FW50">DetermineKill(ConvertToRoundTime(secandmin(DC18),secandmin(CJ36),DD18),DB18,DF18,DG18,DE18,DI18,DH18,$O$4)</f>
        <v>NOLOC</v>
      </c>
      <c r="FS50" s="1" t="b">
        <v>0</v>
      </c>
      <c r="FT50" s="1" t="b">
        <v>0</v>
      </c>
      <c r="FU50" s="1" t="b">
        <v>0</v>
      </c>
      <c r="FV50" s="1" t="b">
        <v>0</v>
      </c>
      <c r="FW50" s="1" t="b">
        <v>0</v>
      </c>
      <c r="FX50" s="1" t="str" cm="1">
        <f t="array" ref="FX50">DeathTraded(FU50,$O$4,DV18,$O$2,DV34,$O$3,DV50,$O$4,DV66,$O$5,DV82,$O$6,$R$2)</f>
        <v>N/A</v>
      </c>
      <c r="FY50" s="4">
        <v>12</v>
      </c>
      <c r="FZ50" s="1">
        <f t="shared" si="31"/>
        <v>0</v>
      </c>
      <c r="GA50" s="21">
        <f t="shared" si="32"/>
        <v>0</v>
      </c>
      <c r="GB50" s="1" t="str">
        <f t="shared" si="25"/>
        <v>NODATA</v>
      </c>
      <c r="GC50" s="13" t="str">
        <f t="shared" si="33"/>
        <v>NODATA</v>
      </c>
      <c r="GD50" s="1" t="str">
        <f t="shared" si="34"/>
        <v>NODATA</v>
      </c>
      <c r="GE50" s="1" t="str">
        <f t="shared" si="35"/>
        <v>NODATA</v>
      </c>
      <c r="GF50" s="1" t="str" cm="1">
        <f t="array" ref="GF50">IF($V$2=TRUE,IF(CH36="Attack",ConvertToRoundTime(secandmin(BO36),secandmin(CJ36),BP36),""),"NO DATA")</f>
        <v/>
      </c>
      <c r="GG50" s="1" t="str" cm="1">
        <f t="array" ref="GG50">IF($V$2=TRUE,IF(CH36="Attack",ConvertToRoundTime(secandmin(BQ36),secandmin(CJ36),BR36),""),"NO DATA")</f>
        <v/>
      </c>
    </row>
    <row r="51" spans="28:189" x14ac:dyDescent="0.25">
      <c r="AB51" s="4">
        <v>10</v>
      </c>
      <c r="AC51" s="39"/>
      <c r="AD51" s="15"/>
      <c r="AE51" s="39"/>
      <c r="AF51" s="15"/>
      <c r="AG51" s="39"/>
      <c r="DP51" s="37"/>
      <c r="DQ51" s="48" t="str">
        <f ca="1">A2</f>
        <v>8_22 Skyscraper_1</v>
      </c>
      <c r="DR51" s="5">
        <v>13</v>
      </c>
      <c r="DS51" s="1" t="str">
        <v>Not Played</v>
      </c>
      <c r="DT51" s="1" t="str">
        <f t="shared" si="26"/>
        <v>Ozone</v>
      </c>
      <c r="DU51" s="1" t="str">
        <v>Not Played</v>
      </c>
      <c r="DV51" s="21" t="b" cm="1">
        <f t="array" ref="DV51">ConvertToRoundTime(secandmin(AS19),secandmin(CJ37),AT19)</f>
        <v>0</v>
      </c>
      <c r="DW51" s="1" t="b">
        <v>0</v>
      </c>
      <c r="DX51" s="1" t="str" cm="1">
        <f t="array" ref="DX51">DeathRefragged(DV51,MAX(ES19,ES35,ES51,ES67,ES83,FA100),MAX(EZ19,EZ35,EZ51,EZ67,EZ83,FI100),MAX(FG19,FG35,FG51,FG67,FG83,FP100),MAX(FN19,FN35,FN51,FN67,FN83,FW100),MAX(FU19,FU35,FU51,FU67,FU83,GD100),$Q$2)</f>
        <v>N/A</v>
      </c>
      <c r="DY51" s="1" t="str" cm="1">
        <f t="array" ref="DY51">DeathTraded(DV51,DW51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51" s="1" t="b">
        <v>0</v>
      </c>
      <c r="EA51" s="1" t="str">
        <v>NOLOC</v>
      </c>
      <c r="EB51" s="1" t="b" cm="1">
        <f t="array" ref="EB51">OpeningDeath(MAX(ES19,ES35,ES51,ES67,ES83),DV51,DV19,DV35,DV67,DV83)</f>
        <v>0</v>
      </c>
      <c r="EC51" s="1" t="b" cm="1">
        <f t="array" ref="EC51">EntryDeath(DV51,DV35,DV19,DV67,DV83)</f>
        <v>0</v>
      </c>
      <c r="ED51" s="5">
        <v>13</v>
      </c>
      <c r="EE51" s="1">
        <f t="shared" si="24"/>
        <v>0</v>
      </c>
      <c r="EF51" s="1">
        <f t="shared" si="27"/>
        <v>0</v>
      </c>
      <c r="EG51" s="1">
        <f t="shared" si="28"/>
        <v>0</v>
      </c>
      <c r="EH51" s="1" cm="1">
        <f t="array" ref="EH51">ExitFrag(EN51,MAX(DV19,DV35,DV67,DV83),MAX(ES19,ES35,ES51,ES67,ES83,FA100),MAX(EZ19,EZ35,EZ51,EZ67,EZ83,FI100),MAX(FG19,FG35,FG51,FG67,FG83,FP100),MAX(FN19,FN35,FN51,FN67,FN83,FW100),MAX(FU19,FU35,FU51,FU67,FU83,GD100))</f>
        <v>0</v>
      </c>
      <c r="EI51" s="1" t="b" cm="1">
        <f t="array" ref="EI51">OpeningKill(ES51,ES35,ES19,ES67,ES83,FB100,DV19,DV35,DV51,DV67,DV83)</f>
        <v>0</v>
      </c>
      <c r="EJ51" s="1" t="b">
        <f t="shared" si="29"/>
        <v>0</v>
      </c>
      <c r="EK51" s="5">
        <v>13</v>
      </c>
      <c r="EL51" s="1" t="b">
        <v>0</v>
      </c>
      <c r="EM51" s="1" t="str" cm="1">
        <f t="array" ref="EM51">IF(NOT(ISBLANK(CP37)),KOST(EE51,DY51,DV51,EL51),"NOT PLAYED")</f>
        <v>NOT PLAYED</v>
      </c>
      <c r="EN51" s="1" t="b" cm="1">
        <f t="array" ref="EN51">OneVX(DV67,DV83,DV19,DV35,DV51)</f>
        <v>0</v>
      </c>
      <c r="EO51" s="1" t="b">
        <f t="shared" si="30"/>
        <v>0</v>
      </c>
      <c r="EP51" s="1" t="str" cm="1">
        <f t="array" ref="EP51:EU51">DetermineKill(ConvertToRoundTime(secandmin(BS19),secandmin(CJ37),BT19),BR19,BV19,BW19,BU19,BY19,BX19,$O$4)</f>
        <v>NOLOC</v>
      </c>
      <c r="EQ51" s="1" t="b">
        <v>0</v>
      </c>
      <c r="ER51" s="1" t="b">
        <v>0</v>
      </c>
      <c r="ES51" s="1" t="b">
        <v>0</v>
      </c>
      <c r="ET51" s="1" t="b">
        <v>0</v>
      </c>
      <c r="EU51" s="1" t="b">
        <v>0</v>
      </c>
      <c r="EV51" s="1" t="str" cm="1">
        <f t="array" ref="EV51">DeathTraded(ES51,$O$4,DV19,$O$2,DV35,$O$3,DV51,$O$4,DV67,$O$5,DV83,$O$6,$R$2)</f>
        <v>N/A</v>
      </c>
      <c r="EW51" s="1" t="str" cm="1">
        <f t="array" ref="EW51:FB51">DetermineKill(ConvertToRoundTime(secandmin(CB19),secandmin(CJ37),CC19),CA19,CE19,CF19,CD19,CH19,CG19,$O$4)</f>
        <v>NOLOC</v>
      </c>
      <c r="EX51" s="1" t="b">
        <v>0</v>
      </c>
      <c r="EY51" s="1" t="b">
        <v>0</v>
      </c>
      <c r="EZ51" s="1" t="b">
        <v>0</v>
      </c>
      <c r="FA51" s="1" t="b">
        <v>0</v>
      </c>
      <c r="FB51" s="1" t="b">
        <v>0</v>
      </c>
      <c r="FC51" s="1" t="str" cm="1">
        <f t="array" ref="FC51">DeathTraded(EZ51,$O$4,DV19,$O$2,DV35,$O$3,DV51,$O$4,DV67,$O$5,DV83,$O$6,$R$2)</f>
        <v>N/A</v>
      </c>
      <c r="FD51" s="1" t="str" cm="1">
        <f t="array" ref="FD51:FI51">DetermineKill(ConvertToRoundTime(secandmin(CK19),secandmin(CJ37),CL19),CJ19,CN19,CO19,CM19,CQ19,CP19,$O$4)</f>
        <v>NOLOC</v>
      </c>
      <c r="FE51" s="1" t="b">
        <v>0</v>
      </c>
      <c r="FF51" s="1" t="b">
        <v>0</v>
      </c>
      <c r="FG51" s="1" t="b">
        <v>0</v>
      </c>
      <c r="FH51" s="1" t="b">
        <v>0</v>
      </c>
      <c r="FI51" s="1" t="b">
        <v>0</v>
      </c>
      <c r="FJ51" s="1" t="str" cm="1">
        <f t="array" ref="FJ51">DeathTraded(FG51,$O$4,DV19,$O$2,DV35,$O$3,DV51,$O$4,DV67,$O$5,DV83,$O$6,$R$2)</f>
        <v>N/A</v>
      </c>
      <c r="FK51" s="1" t="str" cm="1">
        <f t="array" ref="FK51:FP51">DetermineKill(ConvertToRoundTime(secandmin(CT19),secandmin(CJ37),CU19),CS19,CW19,CX19,CV19,CZ19,CY19,$O$4)</f>
        <v>NOLOC</v>
      </c>
      <c r="FL51" s="1" t="b">
        <v>0</v>
      </c>
      <c r="FM51" s="1" t="b">
        <v>0</v>
      </c>
      <c r="FN51" s="1" t="b">
        <v>0</v>
      </c>
      <c r="FO51" s="1" t="b">
        <v>0</v>
      </c>
      <c r="FP51" s="1" t="b">
        <v>0</v>
      </c>
      <c r="FQ51" s="1" t="str" cm="1">
        <f t="array" ref="FQ51">DeathTraded(FN51,$O$4,DV19,$O$2,DV35,$O$3,DV51,$O$4,DV67,$O$5,DV83,$O$6,$R$2)</f>
        <v>N/A</v>
      </c>
      <c r="FR51" s="1" t="str" cm="1">
        <f t="array" ref="FR51:FW51">DetermineKill(ConvertToRoundTime(secandmin(DC19),secandmin(CJ37),DD19),DB19,DF19,DG19,DE19,DI19,DH19,$O$4)</f>
        <v>NOLOC</v>
      </c>
      <c r="FS51" s="1" t="b">
        <v>0</v>
      </c>
      <c r="FT51" s="1" t="b">
        <v>0</v>
      </c>
      <c r="FU51" s="1" t="b">
        <v>0</v>
      </c>
      <c r="FV51" s="1" t="b">
        <v>0</v>
      </c>
      <c r="FW51" s="1" t="b">
        <v>0</v>
      </c>
      <c r="FX51" s="1" t="str" cm="1">
        <f t="array" ref="FX51">DeathTraded(FU51,$O$4,DV19,$O$2,DV35,$O$3,DV51,$O$4,DV67,$O$5,DV83,$O$6,$R$2)</f>
        <v>N/A</v>
      </c>
      <c r="FY51" s="5">
        <v>13</v>
      </c>
      <c r="FZ51" s="1">
        <f t="shared" si="31"/>
        <v>0</v>
      </c>
      <c r="GA51" s="21">
        <f t="shared" si="32"/>
        <v>0</v>
      </c>
      <c r="GB51" s="1" t="str">
        <f t="shared" si="25"/>
        <v>NODATA</v>
      </c>
      <c r="GC51" s="13" t="str">
        <f t="shared" si="33"/>
        <v>NODATA</v>
      </c>
      <c r="GD51" s="1" t="str">
        <f t="shared" si="34"/>
        <v>NODATA</v>
      </c>
      <c r="GE51" s="1" t="str">
        <f t="shared" si="35"/>
        <v>NODATA</v>
      </c>
      <c r="GF51" s="1" t="str" cm="1">
        <f t="array" ref="GF51">IF($V$2=TRUE,IF(CH37="Attack",ConvertToRoundTime(secandmin(BO37),secandmin(CJ37),BP37),""),"NO DATA")</f>
        <v/>
      </c>
      <c r="GG51" s="1" t="str" cm="1">
        <f t="array" ref="GG51">IF($V$2=TRUE,IF(CH37="Attack",ConvertToRoundTime(secandmin(BQ37),secandmin(CJ37),BR37),""),"NO DATA")</f>
        <v/>
      </c>
    </row>
    <row r="52" spans="28:189" x14ac:dyDescent="0.25">
      <c r="AB52" s="5">
        <v>11</v>
      </c>
      <c r="AC52" s="38"/>
      <c r="AD52" s="14"/>
      <c r="AE52" s="38"/>
      <c r="AF52" s="14"/>
      <c r="AG52" s="38"/>
      <c r="DP52" s="37"/>
      <c r="DQ52" s="48" t="str">
        <f ca="1">A2</f>
        <v>8_22 Skyscraper_1</v>
      </c>
      <c r="DR52" s="4">
        <v>14</v>
      </c>
      <c r="DS52" s="1" t="str">
        <v>Not Played</v>
      </c>
      <c r="DT52" s="1" t="str">
        <f t="shared" si="26"/>
        <v>Ozone</v>
      </c>
      <c r="DU52" s="1" t="str">
        <v>Not Played</v>
      </c>
      <c r="DV52" s="21" t="b" cm="1">
        <f t="array" ref="DV52">ConvertToRoundTime(secandmin(AS20),secandmin(CJ38),AT20)</f>
        <v>0</v>
      </c>
      <c r="DW52" s="1" t="b">
        <v>0</v>
      </c>
      <c r="DX52" s="1" t="str" cm="1">
        <f t="array" ref="DX52">DeathRefragged(DV52,MAX(ES20,ES36,ES52,ES68,ES84,FA101),MAX(EZ20,EZ36,EZ52,EZ68,EZ84,FI101),MAX(FG20,FG36,FG52,FG68,FG84,FP101),MAX(FN20,FN36,FN52,FN68,FN84,FW101),MAX(FU20,FU36,FU52,FU68,FU84,GD101),$Q$2)</f>
        <v>N/A</v>
      </c>
      <c r="DY52" s="1" t="str" cm="1">
        <f t="array" ref="DY52">DeathTraded(DV52,DW52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52" s="1" t="b">
        <v>0</v>
      </c>
      <c r="EA52" s="1" t="str">
        <v>NOLOC</v>
      </c>
      <c r="EB52" s="1" t="b" cm="1">
        <f t="array" ref="EB52">OpeningDeath(MAX(ES20,ES36,ES52,ES68,ES84),DV52,DV20,DV36,DV68,DV84)</f>
        <v>0</v>
      </c>
      <c r="EC52" s="1" t="b" cm="1">
        <f t="array" ref="EC52">EntryDeath(DV52,DV36,DV20,DV68,DV84)</f>
        <v>0</v>
      </c>
      <c r="ED52" s="4">
        <v>14</v>
      </c>
      <c r="EE52" s="1">
        <f t="shared" si="24"/>
        <v>0</v>
      </c>
      <c r="EF52" s="1">
        <f t="shared" si="27"/>
        <v>0</v>
      </c>
      <c r="EG52" s="1">
        <f t="shared" si="28"/>
        <v>0</v>
      </c>
      <c r="EH52" s="1" cm="1">
        <f t="array" ref="EH52">ExitFrag(EN52,MAX(DV20,DV36,DV68,DV84),MAX(ES20,ES36,ES52,ES68,ES84,FA101),MAX(EZ20,EZ36,EZ52,EZ68,EZ84,FI101),MAX(FG20,FG36,FG52,FG68,FG84,FP101),MAX(FN20,FN36,FN52,FN68,FN84,FW101),MAX(FU20,FU36,FU52,FU68,FU84,GD101))</f>
        <v>0</v>
      </c>
      <c r="EI52" s="1" t="b" cm="1">
        <f t="array" ref="EI52">OpeningKill(ES52,ES36,ES20,ES68,ES84,FB101,DV20,DV36,DV52,DV68,DV84)</f>
        <v>0</v>
      </c>
      <c r="EJ52" s="1" t="b">
        <f t="shared" si="29"/>
        <v>0</v>
      </c>
      <c r="EK52" s="4">
        <v>14</v>
      </c>
      <c r="EL52" s="1" t="b">
        <v>0</v>
      </c>
      <c r="EM52" s="1" t="str" cm="1">
        <f t="array" ref="EM52">IF(NOT(ISBLANK(CP38)),KOST(EE52,DY52,DV52,EL52),"NOT PLAYED")</f>
        <v>NOT PLAYED</v>
      </c>
      <c r="EN52" s="1" t="b" cm="1">
        <f t="array" ref="EN52">OneVX(DV68,DV84,DV20,DV36,DV52)</f>
        <v>0</v>
      </c>
      <c r="EO52" s="1" t="b">
        <f t="shared" si="30"/>
        <v>0</v>
      </c>
      <c r="EP52" s="1" t="str" cm="1">
        <f t="array" ref="EP52:EU52">DetermineKill(ConvertToRoundTime(secandmin(BS20),secandmin(CJ38),BT20),BR20,BV20,BW20,BU20,BY20,BX20,$O$4)</f>
        <v>NOLOC</v>
      </c>
      <c r="EQ52" s="1" t="b">
        <v>0</v>
      </c>
      <c r="ER52" s="1" t="b">
        <v>0</v>
      </c>
      <c r="ES52" s="1" t="b">
        <v>0</v>
      </c>
      <c r="ET52" s="1" t="b">
        <v>0</v>
      </c>
      <c r="EU52" s="1" t="b">
        <v>0</v>
      </c>
      <c r="EV52" s="1" t="str" cm="1">
        <f t="array" ref="EV52">DeathTraded(ES52,$O$4,DV20,$O$2,DV36,$O$3,DV52,$O$4,DV68,$O$5,DV84,$O$6,$R$2)</f>
        <v>N/A</v>
      </c>
      <c r="EW52" s="1" t="str" cm="1">
        <f t="array" ref="EW52:FB52">DetermineKill(ConvertToRoundTime(secandmin(CB20),secandmin(CJ38),CC20),CA20,CE20,CF20,CD20,CH20,CG20,$O$4)</f>
        <v>NOLOC</v>
      </c>
      <c r="EX52" s="1" t="b">
        <v>0</v>
      </c>
      <c r="EY52" s="1" t="b">
        <v>0</v>
      </c>
      <c r="EZ52" s="1" t="b">
        <v>0</v>
      </c>
      <c r="FA52" s="1" t="b">
        <v>0</v>
      </c>
      <c r="FB52" s="1" t="b">
        <v>0</v>
      </c>
      <c r="FC52" s="1" t="str" cm="1">
        <f t="array" ref="FC52">DeathTraded(EZ52,$O$4,DV20,$O$2,DV36,$O$3,DV52,$O$4,DV68,$O$5,DV84,$O$6,$R$2)</f>
        <v>N/A</v>
      </c>
      <c r="FD52" s="1" t="str" cm="1">
        <f t="array" ref="FD52:FI52">DetermineKill(ConvertToRoundTime(secandmin(CK20),secandmin(CJ38),CL20),CJ20,CN20,CO20,CM20,CQ20,CP20,$O$4)</f>
        <v>NOLOC</v>
      </c>
      <c r="FE52" s="1" t="b">
        <v>0</v>
      </c>
      <c r="FF52" s="1" t="b">
        <v>0</v>
      </c>
      <c r="FG52" s="1" t="b">
        <v>0</v>
      </c>
      <c r="FH52" s="1" t="b">
        <v>0</v>
      </c>
      <c r="FI52" s="1" t="b">
        <v>0</v>
      </c>
      <c r="FJ52" s="1" t="str" cm="1">
        <f t="array" ref="FJ52">DeathTraded(FG52,$O$4,DV20,$O$2,DV36,$O$3,DV52,$O$4,DV68,$O$5,DV84,$O$6,$R$2)</f>
        <v>N/A</v>
      </c>
      <c r="FK52" s="1" t="str" cm="1">
        <f t="array" ref="FK52:FP52">DetermineKill(ConvertToRoundTime(secandmin(CT20),secandmin(CJ38),CU20),CS20,CW20,CX20,CV20,CZ20,CY20,$O$4)</f>
        <v>NOLOC</v>
      </c>
      <c r="FL52" s="1" t="b">
        <v>0</v>
      </c>
      <c r="FM52" s="1" t="b">
        <v>0</v>
      </c>
      <c r="FN52" s="1" t="b">
        <v>0</v>
      </c>
      <c r="FO52" s="1" t="b">
        <v>0</v>
      </c>
      <c r="FP52" s="1" t="b">
        <v>0</v>
      </c>
      <c r="FQ52" s="1" t="str" cm="1">
        <f t="array" ref="FQ52">DeathTraded(FN52,$O$4,DV20,$O$2,DV36,$O$3,DV52,$O$4,DV68,$O$5,DV84,$O$6,$R$2)</f>
        <v>N/A</v>
      </c>
      <c r="FR52" s="1" t="str" cm="1">
        <f t="array" ref="FR52:FW52">DetermineKill(ConvertToRoundTime(secandmin(DC20),secandmin(CJ38),DD20),DB20,DF20,DG20,DE20,DI20,DH20,$O$4)</f>
        <v>NOLOC</v>
      </c>
      <c r="FS52" s="1" t="b">
        <v>0</v>
      </c>
      <c r="FT52" s="1" t="b">
        <v>0</v>
      </c>
      <c r="FU52" s="1" t="b">
        <v>0</v>
      </c>
      <c r="FV52" s="1" t="b">
        <v>0</v>
      </c>
      <c r="FW52" s="1" t="b">
        <v>0</v>
      </c>
      <c r="FX52" s="1" t="str" cm="1">
        <f t="array" ref="FX52">DeathTraded(FU52,$O$4,DV20,$O$2,DV36,$O$3,DV52,$O$4,DV68,$O$5,DV84,$O$6,$R$2)</f>
        <v>N/A</v>
      </c>
      <c r="FY52" s="4">
        <v>14</v>
      </c>
      <c r="FZ52" s="1">
        <f t="shared" si="31"/>
        <v>0</v>
      </c>
      <c r="GA52" s="21">
        <f t="shared" si="32"/>
        <v>0</v>
      </c>
      <c r="GB52" s="1" t="str">
        <f t="shared" si="25"/>
        <v>NODATA</v>
      </c>
      <c r="GC52" s="13" t="str">
        <f t="shared" si="33"/>
        <v>NODATA</v>
      </c>
      <c r="GD52" s="1" t="str">
        <f t="shared" si="34"/>
        <v>NODATA</v>
      </c>
      <c r="GE52" s="1" t="str">
        <f t="shared" si="35"/>
        <v>NODATA</v>
      </c>
      <c r="GF52" s="1" t="str" cm="1">
        <f t="array" ref="GF52">IF($V$2=TRUE,IF(CH38="Attack",ConvertToRoundTime(secandmin(BO38),secandmin(CJ38),BP38),""),"NO DATA")</f>
        <v/>
      </c>
      <c r="GG52" s="1" t="str" cm="1">
        <f t="array" ref="GG52">IF($V$2=TRUE,IF(CH38="Attack",ConvertToRoundTime(secandmin(BQ38),secandmin(CJ38),BR38),""),"NO DATA")</f>
        <v/>
      </c>
    </row>
    <row r="53" spans="28:189" x14ac:dyDescent="0.25">
      <c r="AB53" s="4">
        <v>12</v>
      </c>
      <c r="AC53" s="39"/>
      <c r="AD53" s="15"/>
      <c r="AE53" s="39"/>
      <c r="AF53" s="15"/>
      <c r="AG53" s="39"/>
      <c r="DP53" s="37"/>
      <c r="DQ53" s="48" t="str">
        <f ca="1">A2</f>
        <v>8_22 Skyscraper_1</v>
      </c>
      <c r="DR53" s="5">
        <v>15</v>
      </c>
      <c r="DS53" s="1" t="str">
        <v>Not Played</v>
      </c>
      <c r="DT53" s="1" t="str">
        <f t="shared" si="26"/>
        <v>Ozone</v>
      </c>
      <c r="DU53" s="1" t="str">
        <v>Not Played</v>
      </c>
      <c r="DV53" s="21" t="b" cm="1">
        <f t="array" ref="DV53">ConvertToRoundTime(secandmin(AS21),secandmin(CJ39),AT21)</f>
        <v>0</v>
      </c>
      <c r="DW53" s="1" t="b">
        <v>0</v>
      </c>
      <c r="DX53" s="1" t="str" cm="1">
        <f t="array" ref="DX53">DeathRefragged(DV53,MAX(ES21,ES37,ES53,ES69,ES85,FA102),MAX(EZ21,EZ37,EZ53,EZ69,EZ85,FI102),MAX(FG21,FG37,FG53,FG69,FG85,FP102),MAX(FN21,FN37,FN53,FN69,FN85,FW102),MAX(FU21,FU37,FU53,FU69,FU85,GD102),$Q$2)</f>
        <v>N/A</v>
      </c>
      <c r="DY53" s="1" t="str" cm="1">
        <f t="array" ref="DY53">DeathTraded(DV53,DW53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53" s="1" t="b">
        <v>0</v>
      </c>
      <c r="EA53" s="1" t="str">
        <v>NOLOC</v>
      </c>
      <c r="EB53" s="1" t="b" cm="1">
        <f t="array" ref="EB53">OpeningDeath(MAX(ES21,ES37,ES53,ES69,ES85),DV53,DV21,DV37,DV69,DV85)</f>
        <v>0</v>
      </c>
      <c r="EC53" s="1" t="b" cm="1">
        <f t="array" ref="EC53">EntryDeath(DV53,DV37,DV21,DV69,DV85)</f>
        <v>0</v>
      </c>
      <c r="ED53" s="5">
        <v>15</v>
      </c>
      <c r="EE53" s="1">
        <f t="shared" si="24"/>
        <v>0</v>
      </c>
      <c r="EF53" s="1">
        <f t="shared" si="27"/>
        <v>0</v>
      </c>
      <c r="EG53" s="1">
        <f t="shared" si="28"/>
        <v>0</v>
      </c>
      <c r="EH53" s="1" cm="1">
        <f t="array" ref="EH53">ExitFrag(EN53,MAX(DV21,DV37,DV69,DV85),MAX(ES21,ES37,ES53,ES69,ES85,FA102),MAX(EZ21,EZ37,EZ53,EZ69,EZ85,FI102),MAX(FG21,FG37,FG53,FG69,FG85,FP102),MAX(FN21,FN37,FN53,FN69,FN85,FW102),MAX(FU21,FU37,FU53,FU69,FU85,GD102))</f>
        <v>0</v>
      </c>
      <c r="EI53" s="1" t="b" cm="1">
        <f t="array" ref="EI53">OpeningKill(ES53,ES37,ES21,ES69,ES85,FB102,DV21,DV37,DV53,DV69,DV85)</f>
        <v>0</v>
      </c>
      <c r="EJ53" s="1" t="b">
        <f t="shared" si="29"/>
        <v>0</v>
      </c>
      <c r="EK53" s="5">
        <v>15</v>
      </c>
      <c r="EL53" s="1" t="b">
        <v>0</v>
      </c>
      <c r="EM53" s="1" t="str" cm="1">
        <f t="array" ref="EM53">IF(NOT(ISBLANK(CP39)),KOST(EE53,DY53,DV53,EL53),"NOT PLAYED")</f>
        <v>NOT PLAYED</v>
      </c>
      <c r="EN53" s="1" t="b" cm="1">
        <f t="array" ref="EN53">OneVX(DV69,DV85,DV21,DV37,DV53)</f>
        <v>0</v>
      </c>
      <c r="EO53" s="1" t="b">
        <f t="shared" si="30"/>
        <v>0</v>
      </c>
      <c r="EP53" s="1" t="str" cm="1">
        <f t="array" ref="EP53:EU53">DetermineKill(ConvertToRoundTime(secandmin(BS21),secandmin(CJ39),BT21),BR21,BV21,BW21,BU21,BY21,BX21,$O$4)</f>
        <v>NOLOC</v>
      </c>
      <c r="EQ53" s="1" t="b">
        <v>0</v>
      </c>
      <c r="ER53" s="1" t="b">
        <v>0</v>
      </c>
      <c r="ES53" s="1" t="b">
        <v>0</v>
      </c>
      <c r="ET53" s="1" t="b">
        <v>0</v>
      </c>
      <c r="EU53" s="1" t="b">
        <v>0</v>
      </c>
      <c r="EV53" s="1" t="str" cm="1">
        <f t="array" ref="EV53">DeathTraded(ES53,$O$4,DV21,$O$2,DV37,$O$3,DV53,$O$4,DV69,$O$5,DV85,$O$6,$R$2)</f>
        <v>N/A</v>
      </c>
      <c r="EW53" s="1" t="str" cm="1">
        <f t="array" ref="EW53:FB53">DetermineKill(ConvertToRoundTime(secandmin(CB21),secandmin(CJ39),CC21),CA21,CE21,CF21,CD21,CH21,CG21,$O$4)</f>
        <v>NOLOC</v>
      </c>
      <c r="EX53" s="1" t="b">
        <v>0</v>
      </c>
      <c r="EY53" s="1" t="b">
        <v>0</v>
      </c>
      <c r="EZ53" s="1" t="b">
        <v>0</v>
      </c>
      <c r="FA53" s="1" t="b">
        <v>0</v>
      </c>
      <c r="FB53" s="1" t="b">
        <v>0</v>
      </c>
      <c r="FC53" s="1" t="str" cm="1">
        <f t="array" ref="FC53">DeathTraded(EZ53,$O$4,DV21,$O$2,DV37,$O$3,DV53,$O$4,DV69,$O$5,DV85,$O$6,$R$2)</f>
        <v>N/A</v>
      </c>
      <c r="FD53" s="1" t="str" cm="1">
        <f t="array" ref="FD53:FI53">DetermineKill(ConvertToRoundTime(secandmin(CK21),secandmin(CJ39),CL21),CJ21,CN21,CO21,CM21,CQ21,CP21,$O$4)</f>
        <v>NOLOC</v>
      </c>
      <c r="FE53" s="1" t="b">
        <v>0</v>
      </c>
      <c r="FF53" s="1" t="b">
        <v>0</v>
      </c>
      <c r="FG53" s="1" t="b">
        <v>0</v>
      </c>
      <c r="FH53" s="1" t="b">
        <v>0</v>
      </c>
      <c r="FI53" s="1" t="b">
        <v>0</v>
      </c>
      <c r="FJ53" s="1" t="str" cm="1">
        <f t="array" ref="FJ53">DeathTraded(FG53,$O$4,DV21,$O$2,DV37,$O$3,DV53,$O$4,DV69,$O$5,DV85,$O$6,$R$2)</f>
        <v>N/A</v>
      </c>
      <c r="FK53" s="1" t="str" cm="1">
        <f t="array" ref="FK53:FP53">DetermineKill(ConvertToRoundTime(secandmin(CT21),secandmin(CJ39),CU21),CS21,CW21,CX21,CV21,CZ21,CY21,$O$4)</f>
        <v>NOLOC</v>
      </c>
      <c r="FL53" s="1" t="b">
        <v>0</v>
      </c>
      <c r="FM53" s="1" t="b">
        <v>0</v>
      </c>
      <c r="FN53" s="1" t="b">
        <v>0</v>
      </c>
      <c r="FO53" s="1" t="b">
        <v>0</v>
      </c>
      <c r="FP53" s="1" t="b">
        <v>0</v>
      </c>
      <c r="FQ53" s="1" t="str" cm="1">
        <f t="array" ref="FQ53">DeathTraded(FN53,$O$4,DV21,$O$2,DV37,$O$3,DV53,$O$4,DV69,$O$5,DV85,$O$6,$R$2)</f>
        <v>N/A</v>
      </c>
      <c r="FR53" s="1" t="str" cm="1">
        <f t="array" ref="FR53:FW53">DetermineKill(ConvertToRoundTime(secandmin(DC21),secandmin(CJ39),DD21),DB21,DF21,DG21,DE21,DI21,DH21,$O$4)</f>
        <v>NOLOC</v>
      </c>
      <c r="FS53" s="1" t="b">
        <v>0</v>
      </c>
      <c r="FT53" s="1" t="b">
        <v>0</v>
      </c>
      <c r="FU53" s="1" t="b">
        <v>0</v>
      </c>
      <c r="FV53" s="1" t="b">
        <v>0</v>
      </c>
      <c r="FW53" s="1" t="b">
        <v>0</v>
      </c>
      <c r="FX53" s="1" t="str" cm="1">
        <f t="array" ref="FX53">DeathTraded(FU53,$O$4,DV21,$O$2,DV37,$O$3,DV53,$O$4,DV69,$O$5,DV85,$O$6,$R$2)</f>
        <v>N/A</v>
      </c>
      <c r="FY53" s="5">
        <v>15</v>
      </c>
      <c r="FZ53" s="1">
        <f t="shared" si="31"/>
        <v>0</v>
      </c>
      <c r="GA53" s="21">
        <f t="shared" si="32"/>
        <v>0</v>
      </c>
      <c r="GB53" s="1" t="str">
        <f t="shared" si="25"/>
        <v>NODATA</v>
      </c>
      <c r="GC53" s="13" t="str">
        <f t="shared" si="33"/>
        <v>NODATA</v>
      </c>
      <c r="GD53" s="1" t="str">
        <f t="shared" si="34"/>
        <v>NODATA</v>
      </c>
      <c r="GE53" s="1" t="str">
        <f t="shared" si="35"/>
        <v>NODATA</v>
      </c>
      <c r="GF53" s="1" t="str" cm="1">
        <f t="array" ref="GF53">IF($V$2=TRUE,IF(CH39="Attack",ConvertToRoundTime(secandmin(BO39),secandmin(CJ39),BP39),""),"NO DATA")</f>
        <v/>
      </c>
      <c r="GG53" s="1" t="str" cm="1">
        <f t="array" ref="GG53">IF($V$2=TRUE,IF(CH39="Attack",ConvertToRoundTime(secandmin(BQ39),secandmin(CJ39),BR39),""),"NO DATA")</f>
        <v/>
      </c>
    </row>
    <row r="54" spans="28:189" x14ac:dyDescent="0.25">
      <c r="AB54" s="5">
        <v>13</v>
      </c>
      <c r="AC54" s="38"/>
      <c r="AD54" s="14"/>
      <c r="AE54" s="38"/>
      <c r="AF54" s="14"/>
      <c r="AG54" s="38"/>
      <c r="DP54" s="36" t="str">
        <f>$O$5</f>
        <v>Krypticz</v>
      </c>
      <c r="DQ54" s="48" t="s">
        <v>326</v>
      </c>
      <c r="DR54" s="16" t="s">
        <v>46</v>
      </c>
      <c r="DS54" s="9" t="s">
        <v>55</v>
      </c>
      <c r="DT54" s="21" t="s">
        <v>310</v>
      </c>
      <c r="DU54" s="21" t="s">
        <v>323</v>
      </c>
      <c r="DV54" s="21" t="s">
        <v>54</v>
      </c>
      <c r="DW54" s="50" t="s">
        <v>62</v>
      </c>
      <c r="DX54" s="50" t="s">
        <v>219</v>
      </c>
      <c r="DY54" s="50" t="s">
        <v>220</v>
      </c>
      <c r="DZ54" s="50" t="s">
        <v>221</v>
      </c>
      <c r="EA54" s="50" t="s">
        <v>245</v>
      </c>
      <c r="EB54" s="50" t="s">
        <v>257</v>
      </c>
      <c r="EC54" s="50" t="s">
        <v>258</v>
      </c>
      <c r="ED54" s="51" t="s">
        <v>405</v>
      </c>
      <c r="EE54" s="50" t="s">
        <v>9</v>
      </c>
      <c r="EF54" s="50" t="s">
        <v>222</v>
      </c>
      <c r="EG54" s="50" t="s">
        <v>223</v>
      </c>
      <c r="EH54" s="50" t="s">
        <v>246</v>
      </c>
      <c r="EI54" s="50" t="s">
        <v>259</v>
      </c>
      <c r="EJ54" s="50" t="s">
        <v>260</v>
      </c>
      <c r="EK54" s="51" t="s">
        <v>406</v>
      </c>
      <c r="EL54" s="21" t="s">
        <v>324</v>
      </c>
      <c r="EM54" s="50" t="s">
        <v>33</v>
      </c>
      <c r="EN54" s="50" t="s">
        <v>66</v>
      </c>
      <c r="EO54" s="21" t="s">
        <v>35</v>
      </c>
      <c r="EP54" s="13" t="s">
        <v>60</v>
      </c>
      <c r="EQ54" s="13" t="s">
        <v>340</v>
      </c>
      <c r="ER54" s="13" t="s">
        <v>311</v>
      </c>
      <c r="ES54" s="13" t="s">
        <v>312</v>
      </c>
      <c r="ET54" s="13" t="s">
        <v>41</v>
      </c>
      <c r="EU54" s="13" t="s">
        <v>338</v>
      </c>
      <c r="EV54" s="13" t="s">
        <v>339</v>
      </c>
      <c r="EW54" s="21" t="s">
        <v>61</v>
      </c>
      <c r="EX54" s="21" t="s">
        <v>423</v>
      </c>
      <c r="EY54" s="21" t="s">
        <v>313</v>
      </c>
      <c r="EZ54" s="21" t="s">
        <v>314</v>
      </c>
      <c r="FA54" s="21" t="s">
        <v>422</v>
      </c>
      <c r="FB54" s="21" t="s">
        <v>421</v>
      </c>
      <c r="FC54" s="21" t="s">
        <v>420</v>
      </c>
      <c r="FD54" s="13" t="s">
        <v>63</v>
      </c>
      <c r="FE54" s="13" t="s">
        <v>419</v>
      </c>
      <c r="FF54" s="13" t="s">
        <v>315</v>
      </c>
      <c r="FG54" s="13" t="s">
        <v>316</v>
      </c>
      <c r="FH54" s="13" t="s">
        <v>418</v>
      </c>
      <c r="FI54" s="13" t="s">
        <v>417</v>
      </c>
      <c r="FJ54" s="13" t="s">
        <v>416</v>
      </c>
      <c r="FK54" s="21" t="s">
        <v>64</v>
      </c>
      <c r="FL54" s="21" t="s">
        <v>415</v>
      </c>
      <c r="FM54" s="21" t="s">
        <v>317</v>
      </c>
      <c r="FN54" s="21" t="s">
        <v>318</v>
      </c>
      <c r="FO54" s="21" t="s">
        <v>414</v>
      </c>
      <c r="FP54" s="21" t="s">
        <v>413</v>
      </c>
      <c r="FQ54" s="21" t="s">
        <v>412</v>
      </c>
      <c r="FR54" s="13" t="s">
        <v>65</v>
      </c>
      <c r="FS54" s="13" t="s">
        <v>411</v>
      </c>
      <c r="FT54" s="13" t="s">
        <v>319</v>
      </c>
      <c r="FU54" s="13" t="s">
        <v>320</v>
      </c>
      <c r="FV54" s="13" t="s">
        <v>409</v>
      </c>
      <c r="FW54" s="13" t="s">
        <v>408</v>
      </c>
      <c r="FX54" s="13" t="s">
        <v>410</v>
      </c>
      <c r="FY54" s="16" t="s">
        <v>407</v>
      </c>
      <c r="FZ54" s="21" t="s">
        <v>249</v>
      </c>
      <c r="GA54" s="21" t="s">
        <v>250</v>
      </c>
      <c r="GB54" s="21" t="s">
        <v>58</v>
      </c>
      <c r="GC54" s="21" t="s">
        <v>57</v>
      </c>
      <c r="GD54" s="21" t="s">
        <v>42</v>
      </c>
      <c r="GE54" s="21" t="s">
        <v>43</v>
      </c>
      <c r="GF54" s="21" t="s">
        <v>247</v>
      </c>
      <c r="GG54" s="21" t="s">
        <v>248</v>
      </c>
    </row>
    <row r="55" spans="28:189" x14ac:dyDescent="0.25">
      <c r="AB55" s="4">
        <v>14</v>
      </c>
      <c r="AC55" s="39"/>
      <c r="AD55" s="15"/>
      <c r="AE55" s="39"/>
      <c r="AF55" s="15"/>
      <c r="AG55" s="39"/>
      <c r="DP55" s="37"/>
      <c r="DQ55" s="48" t="str">
        <f ca="1">A2</f>
        <v>8_22 Skyscraper_1</v>
      </c>
      <c r="DR55" s="5">
        <v>1</v>
      </c>
      <c r="DS55" s="1" t="str" cm="1">
        <f t="array" ref="DS55:DS69">IF($CH$25:$CH$39=0,"Not Played", $CH$25:$CH$39)</f>
        <v>Attack</v>
      </c>
      <c r="DT55" s="1" t="str">
        <f>$O$5</f>
        <v>Krypticz</v>
      </c>
      <c r="DU55" s="1" t="str" cm="1">
        <f t="array" ref="DU55:DU69">IF($CS$25:$CS39=0,"Not Played",$CS$25:$CS39)</f>
        <v>Iana</v>
      </c>
      <c r="DV55" s="21" cm="1">
        <f t="array" ref="DV55">ConvertToRoundTime(secandmin(BA7),secandmin(CJ25),BB7)</f>
        <v>151</v>
      </c>
      <c r="DW55" s="1" t="str" cm="1">
        <f t="array" ref="DW55:DW69">IF($BC$7:$BC$21=0,FALSE,$BC$7:$BC$21)</f>
        <v>Kiru</v>
      </c>
      <c r="DX55" s="1" t="b" cm="1">
        <f t="array" ref="DX55">DeathRefragged(DV55,MAX(ES7,ES23,ES39,ES55,ES71,FA88),MAX(EZ7,EZ23,EZ39,EZ55,EZ71,FI88),MAX(FG7,FG23,FG39,FG55,FG71,FP88),MAX(FN7,FN23,FN39,FN55,FN71,FW88),MAX(FU7,FU23,FU39,FU55,FU71,GD88),$Q$2)</f>
        <v>0</v>
      </c>
      <c r="DY55" s="1" t="b" cm="1">
        <f t="array" ref="DY55">DeathTraded(DV55,DW55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0</v>
      </c>
      <c r="DZ55" s="1" t="b" cm="1">
        <f t="array" ref="DZ55:DZ69">IF($BE$7:$BE$21=0,FALSE,$BE$7:$BE21)</f>
        <v>0</v>
      </c>
      <c r="EA55" s="1" t="str" cm="1">
        <f t="array" ref="EA55:EA69">IF($BD$7:$BD$21=0,"NOLOC",$BD$7:$BD$21)</f>
        <v>NOLOC</v>
      </c>
      <c r="EB55" s="1" t="b" cm="1">
        <f t="array" ref="EB55">OpeningDeath(MAX(ES7,ES23,ES39,ES55,ES71),DV55,DV7,DV23,DV39,DV71)</f>
        <v>0</v>
      </c>
      <c r="EC55" s="1" t="b" cm="1">
        <f t="array" ref="EC55">EntryDeath(DV55,DV39,DV23,DV7,DV71)</f>
        <v>0</v>
      </c>
      <c r="ED55" s="5">
        <v>1</v>
      </c>
      <c r="EE55" s="1">
        <f t="shared" ref="EE55:EE69" si="36">SUM(IF(ES55=FALSE,0,1),IF(EZ55=FALSE,0,1),IF(FG55=FALSE,0,1),IF(FN55=FALSE,0,1),IF(FU55=FALSE,0,1))</f>
        <v>1</v>
      </c>
      <c r="EF55" s="1">
        <f>SUM(IF(EU55=TRUE,1,0),IF(FI55=TRUE,1,0),IF(FP55=TRUE,1,0),IF(FW55=TRUE,1,0),IF(FB55=TRUE,1,0))</f>
        <v>0</v>
      </c>
      <c r="EG55" s="1">
        <f>SUM(IF(EQ55=TRUE,1,0),IF(FE55=TRUE,1,0),IF(FL55=TRUE,1,0),IF(FS55=TRUE,1,0),IF(EX55=TRUE,1,0))</f>
        <v>0</v>
      </c>
      <c r="EH55" s="1" cm="1">
        <f t="array" ref="EH55">ExitFrag(EN55,MAX(DV7,DV23,DV39,DV71),MAX(ES7,ES23,ES39,ES55,ES71,FA88),MAX(EZ7,EZ23,EZ39,EZ55,EZ71,FI88),MAX(FG7,FG23,FG39,FG55,FG71,FP88),MAX(FN7,FN23,FN39,FN55,FN71,FW88),MAX(FU7,FU23,FU39,FU55,FU71,GD88))</f>
        <v>0</v>
      </c>
      <c r="EI55" s="1" t="b" cm="1">
        <f t="array" ref="EI55">OpeningKill(ES55,ES39,ES23,ES7,ES71,FB88,DV7,DV23,DV39,DV55,DV71)</f>
        <v>0</v>
      </c>
      <c r="EJ55" s="1" t="b">
        <f>IF(ES55=FALSE,FALSE,TRUE)</f>
        <v>0</v>
      </c>
      <c r="EK55" s="5">
        <v>1</v>
      </c>
      <c r="EL55" s="1" t="b" cm="1">
        <f t="array" ref="EL55:EL69">IF($BF$7:$BF$21=0,FALSE,$BF$7:$BF21)</f>
        <v>0</v>
      </c>
      <c r="EM55" s="1" t="b" cm="1">
        <f t="array" ref="EM55">IF(NOT(ISBLANK(CP25)),KOST(EE55,DY55,DV55,EL55),"NOT PLAYED")</f>
        <v>1</v>
      </c>
      <c r="EN55" s="1" t="b" cm="1">
        <f t="array" ref="EN55">OneVX(DV71,DV7,DV23,DV39,DV55)</f>
        <v>0</v>
      </c>
      <c r="EO55" s="1" t="b">
        <f>IF(AND(EN55=TRUE,CM25="Won"),TRUE,FALSE)</f>
        <v>0</v>
      </c>
      <c r="EP55" s="1" t="str" cm="1">
        <f t="array" ref="EP55:EU55">DetermineKill(ConvertToRoundTime(secandmin(BS7),secandmin(CJ25),BT7),BR7,BV7,BW7,BU7,BY7,BX7,$O$5)</f>
        <v>NOLOC</v>
      </c>
      <c r="EQ55" s="1" t="b">
        <v>0</v>
      </c>
      <c r="ER55" s="1" t="b">
        <v>0</v>
      </c>
      <c r="ES55" s="1" t="b">
        <v>0</v>
      </c>
      <c r="ET55" s="1" t="b">
        <v>0</v>
      </c>
      <c r="EU55" s="1" t="b">
        <v>0</v>
      </c>
      <c r="EV55" s="1" t="str" cm="1">
        <f t="array" ref="EV55">DeathTraded(ES55,$O$5,DV7,$O$2,DV23,$O$3,DV39,$O$4,DV55,$O$5,DV71,$O$6,$R$2)</f>
        <v>N/A</v>
      </c>
      <c r="EW55" s="1" t="str" cm="1">
        <f t="array" ref="EW55:FB55">DetermineKill(ConvertToRoundTime(secandmin(CB7),secandmin(CJ25),CC7),CA7,CE7,CF7,CD7,CH7,CG7,$O$5)</f>
        <v>UNKNOWN</v>
      </c>
      <c r="EX55" s="1" t="b">
        <v>0</v>
      </c>
      <c r="EY55" s="1" t="str">
        <v>Snipey</v>
      </c>
      <c r="EZ55" s="1">
        <v>114</v>
      </c>
      <c r="FA55" s="1" t="b">
        <v>0</v>
      </c>
      <c r="FB55" s="1" t="b">
        <v>0</v>
      </c>
      <c r="FC55" s="1" t="b" cm="1">
        <f t="array" ref="FC55">DeathTraded(EZ55,$O$5,DV7,$O$2,DV23,$O$3,DV39,$O$4,DV55,$O$5,DV71,$O$6,$R$2)</f>
        <v>0</v>
      </c>
      <c r="FD55" s="1" t="str" cm="1">
        <f t="array" ref="FD55:FI55">DetermineKill(ConvertToRoundTime(secandmin(CK7),secandmin(CJ25),CL7),CJ7,CN7,CO7,CM7,CQ7,CP7,$O$5)</f>
        <v>NOLOC</v>
      </c>
      <c r="FE55" s="1" t="b">
        <v>0</v>
      </c>
      <c r="FF55" s="1" t="b">
        <v>0</v>
      </c>
      <c r="FG55" s="1" t="b">
        <v>0</v>
      </c>
      <c r="FH55" s="1" t="b">
        <v>0</v>
      </c>
      <c r="FI55" s="1" t="b">
        <v>0</v>
      </c>
      <c r="FJ55" s="1" t="str" cm="1">
        <f t="array" ref="FJ55">DeathTraded(FG55,$O$5,DV7,$O$2,DV23,$O$3,DV39,$O$4,DV55,$O$5,DV71,$O$6,$R$2)</f>
        <v>N/A</v>
      </c>
      <c r="FK55" s="1" t="str" cm="1">
        <f t="array" ref="FK55:FP55">DetermineKill(ConvertToRoundTime(secandmin(CT7),secandmin(CJ25),CU7),CS7,CW7,CX7,CV7,CZ7,CY7,$O$5)</f>
        <v>NOLOC</v>
      </c>
      <c r="FL55" s="1" t="b">
        <v>0</v>
      </c>
      <c r="FM55" s="1" t="b">
        <v>0</v>
      </c>
      <c r="FN55" s="1" t="b">
        <v>0</v>
      </c>
      <c r="FO55" s="1" t="b">
        <v>0</v>
      </c>
      <c r="FP55" s="1" t="b">
        <v>0</v>
      </c>
      <c r="FQ55" s="1" t="str" cm="1">
        <f t="array" ref="FQ55">DeathTraded(FN55,$O$5,DV7,$O$2,DV23,$O$3,DV39,$O$4,DV55,$O$5,DV71,$O$6,$R$2)</f>
        <v>N/A</v>
      </c>
      <c r="FR55" s="1" t="str" cm="1">
        <f t="array" ref="FR55:FW55">DetermineKill(ConvertToRoundTime(secandmin(DC7),secandmin(CJ25),DD7),DB7,DF7,DG7,DE7,DI7,DH7,$O$5)</f>
        <v>NOLOC</v>
      </c>
      <c r="FS55" s="1" t="b">
        <v>0</v>
      </c>
      <c r="FT55" s="1" t="b">
        <v>0</v>
      </c>
      <c r="FU55" s="1" t="b">
        <v>0</v>
      </c>
      <c r="FV55" s="1" t="b">
        <v>0</v>
      </c>
      <c r="FW55" s="1" t="b">
        <v>0</v>
      </c>
      <c r="FX55" s="1" t="str" cm="1">
        <f t="array" ref="FX55">DeathTraded(FU55,$O$5,DV7,$O$2,DV23,$O$3,DV39,$O$4,DV55,$O$5,DV71,$O$6,$R$2)</f>
        <v>N/A</v>
      </c>
      <c r="FY55" s="5">
        <v>1</v>
      </c>
      <c r="FZ55" s="1">
        <f>IF($U$2=TRUE,SUM(FV55,FO55,FH55,FA55,ET55),"NO DATA")</f>
        <v>0</v>
      </c>
      <c r="GA55" s="21">
        <f>IF($U$2=TRUE,SUM(IF(CP25=$O$5,1,0),IF(CQ25=$O$5,1,0),IF(CR25=$O$5,1,0),IF(CS25=$O$5,1,0),IF(CT25=$O$5,1,0)),"NO DATA")</f>
        <v>0</v>
      </c>
      <c r="GB55" s="1" t="str">
        <f t="shared" ref="GB55:GB69" si="37">IF($T$2=TRUE,IF(AND(ISBLANK(AN25),CH25="Defence"),0,IF(NOT(CH25="Defence"),"",AN25)),"NODATA")</f>
        <v>NODATA</v>
      </c>
      <c r="GC55" s="13" t="str">
        <f>IF($T$2=TRUE,IF(AND(ISBLANK(AS25),CH25="Defence"),0,IF(NOT(CH25="Defence"),"",AS25)),"NODATA")</f>
        <v>NODATA</v>
      </c>
      <c r="GD55" s="1" t="str">
        <f>IF($T$2=TRUE,IF(AND(ISBLANK(AG25),CH25="Attack"),FALSE,IF(NOT(CH25="Attack"),"",AG25)),"NODATA")</f>
        <v>NODATA</v>
      </c>
      <c r="GE55" s="1" t="str">
        <f>IF($T$2=TRUE,IF(AND(ISBLANK(AF42),CH25="Attack"),2,IF(NOT(CH25="Attack"),"",AF42)),"NODATA")</f>
        <v>NODATA</v>
      </c>
      <c r="GF55" s="1" t="b" cm="1">
        <f t="array" ref="GF55">IF($V$2=TRUE,IF(CH25="Attack",ConvertToRoundTime(secandmin(BU25),secandmin(CJ25),BV25),""),"NO DATA")</f>
        <v>0</v>
      </c>
      <c r="GG55" s="1" t="b" cm="1">
        <f t="array" ref="GG55">IF($V$2=TRUE,IF(CH25="Attack",ConvertToRoundTime(secandmin(BW25),secandmin(CJ25),BX25),""),"NO DATA")</f>
        <v>0</v>
      </c>
    </row>
    <row r="56" spans="28:189" x14ac:dyDescent="0.25">
      <c r="AB56" s="5">
        <v>15</v>
      </c>
      <c r="AC56" s="38"/>
      <c r="AD56" s="14"/>
      <c r="AE56" s="38"/>
      <c r="AF56" s="14"/>
      <c r="AG56" s="38"/>
      <c r="DP56" s="37"/>
      <c r="DQ56" s="48" t="str">
        <f ca="1">A2</f>
        <v>8_22 Skyscraper_1</v>
      </c>
      <c r="DR56" s="4">
        <v>2</v>
      </c>
      <c r="DS56" s="1" t="str">
        <v>Attack</v>
      </c>
      <c r="DT56" s="1" t="str">
        <f t="shared" ref="DT56:DT69" si="38">$O$5</f>
        <v>Krypticz</v>
      </c>
      <c r="DU56" s="1" t="str">
        <v>Iana</v>
      </c>
      <c r="DV56" s="21" cm="1">
        <f t="array" ref="DV56">ConvertToRoundTime(secandmin(BA8),secandmin(CJ26),BB8)</f>
        <v>167</v>
      </c>
      <c r="DW56" s="1" t="str">
        <v>Rival</v>
      </c>
      <c r="DX56" s="1" t="b" cm="1">
        <f t="array" ref="DX56">DeathRefragged(DV56,MAX(ES8,ES24,ES40,ES56,ES72,FA89),MAX(EZ8,EZ24,EZ40,EZ56,EZ72,FI89),MAX(FG8,FG24,FG40,FG56,FG72,FP89),MAX(FN8,FN24,FN40,FN56,FN72,FW89),MAX(FU8,FU24,FU40,FU56,FU72,GD89),$Q$2)</f>
        <v>0</v>
      </c>
      <c r="DY56" s="1" t="b" cm="1">
        <f t="array" ref="DY56">DeathTraded(DV56,DW56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0</v>
      </c>
      <c r="DZ56" s="1" t="b">
        <v>0</v>
      </c>
      <c r="EA56" s="1" t="str">
        <v>NOLOC</v>
      </c>
      <c r="EB56" s="1" t="b" cm="1">
        <f t="array" ref="EB56">OpeningDeath(MAX(ES8,ES24,ES40,ES56,ES72),DV56,DV8,DV24,DV40,DV72)</f>
        <v>0</v>
      </c>
      <c r="EC56" s="1" t="b" cm="1">
        <f t="array" ref="EC56">EntryDeath(DV56,DV40,DV24,DV8,DV72)</f>
        <v>0</v>
      </c>
      <c r="ED56" s="4">
        <v>2</v>
      </c>
      <c r="EE56" s="1">
        <f t="shared" si="36"/>
        <v>0</v>
      </c>
      <c r="EF56" s="1">
        <f t="shared" ref="EF56:EF69" si="39">SUM(IF(EU56=TRUE,1,0),IF(FI56=TRUE,1,0),IF(FP56=TRUE,1,0),IF(FW56=TRUE,1,0),IF(FB56=TRUE,1,0))</f>
        <v>0</v>
      </c>
      <c r="EG56" s="1">
        <f t="shared" ref="EG56:EG69" si="40">SUM(IF(EQ56=TRUE,1,0),IF(FE56=TRUE,1,0),IF(FL56=TRUE,1,0),IF(FS56=TRUE,1,0),IF(EX56=TRUE,1,0))</f>
        <v>0</v>
      </c>
      <c r="EH56" s="1" cm="1">
        <f t="array" ref="EH56">ExitFrag(EN56,MAX(DV8,DV24,DV40,DV72),MAX(ES8,ES24,ES40,ES56,ES72,FA89),MAX(EZ8,EZ24,EZ40,EZ56,EZ72,FI89),MAX(FG8,FG24,FG40,FG56,FG72,FP89),MAX(FN8,FN24,FN40,FN56,FN72,FW89),MAX(FU8,FU24,FU40,FU56,FU72,GD89))</f>
        <v>0</v>
      </c>
      <c r="EI56" s="1" t="b" cm="1">
        <f t="array" ref="EI56">OpeningKill(ES56,ES40,ES24,ES8,ES72,FB89,DV8,DV24,DV40,DV56,DV72)</f>
        <v>0</v>
      </c>
      <c r="EJ56" s="1" t="b">
        <f t="shared" ref="EJ56:EJ69" si="41">IF(ES56=FALSE,FALSE,TRUE)</f>
        <v>0</v>
      </c>
      <c r="EK56" s="4">
        <v>2</v>
      </c>
      <c r="EL56" s="1" t="b">
        <v>0</v>
      </c>
      <c r="EM56" s="1" t="b" cm="1">
        <f t="array" ref="EM56">IF(NOT(ISBLANK(CP26)),KOST(EE56,DY56,DV56,EL56),"NOT PLAYED")</f>
        <v>0</v>
      </c>
      <c r="EN56" s="1" t="b" cm="1">
        <f t="array" ref="EN56">OneVX(DV72,DV8,DV24,DV40,DV56)</f>
        <v>0</v>
      </c>
      <c r="EO56" s="1" t="b">
        <f t="shared" ref="EO56:EO69" si="42">IF(AND(EN56=TRUE,CM26="Won"),TRUE,FALSE)</f>
        <v>0</v>
      </c>
      <c r="EP56" s="1" t="str" cm="1">
        <f t="array" ref="EP56:EU56">DetermineKill(ConvertToRoundTime(secandmin(BS8),secandmin(CJ26),BT8),BR8,BV8,BW8,BU8,BY8,BX8,$O$5)</f>
        <v>NOLOC</v>
      </c>
      <c r="EQ56" s="1" t="b">
        <v>0</v>
      </c>
      <c r="ER56" s="1" t="b">
        <v>0</v>
      </c>
      <c r="ES56" s="1" t="b">
        <v>0</v>
      </c>
      <c r="ET56" s="1" t="b">
        <v>0</v>
      </c>
      <c r="EU56" s="1" t="b">
        <v>0</v>
      </c>
      <c r="EV56" s="1" t="str" cm="1">
        <f t="array" ref="EV56">DeathTraded(ES56,$O$5,DV8,$O$2,DV24,$O$3,DV40,$O$4,DV56,$O$5,DV72,$O$6,$R$2)</f>
        <v>N/A</v>
      </c>
      <c r="EW56" s="1" t="str" cm="1">
        <f t="array" ref="EW56:FB56">DetermineKill(ConvertToRoundTime(secandmin(CB8),secandmin(CJ26),CC8),CA8,CE8,CF8,CD8,CH8,CG8,$O$5)</f>
        <v>NOLOC</v>
      </c>
      <c r="EX56" s="1" t="b">
        <v>0</v>
      </c>
      <c r="EY56" s="1" t="b">
        <v>0</v>
      </c>
      <c r="EZ56" s="1" t="b">
        <v>0</v>
      </c>
      <c r="FA56" s="1" t="b">
        <v>0</v>
      </c>
      <c r="FB56" s="1" t="b">
        <v>0</v>
      </c>
      <c r="FC56" s="1" t="str" cm="1">
        <f t="array" ref="FC56">DeathTraded(EZ56,$O$5,DV8,$O$2,DV24,$O$3,DV40,$O$4,DV56,$O$5,DV72,$O$6,$R$2)</f>
        <v>N/A</v>
      </c>
      <c r="FD56" s="1" t="str" cm="1">
        <f t="array" ref="FD56:FI56">DetermineKill(ConvertToRoundTime(secandmin(CK8),secandmin(CJ26),CL8),CJ8,CN8,CO8,CM8,CQ8,CP8,$O$5)</f>
        <v>NOLOC</v>
      </c>
      <c r="FE56" s="1" t="b">
        <v>0</v>
      </c>
      <c r="FF56" s="1" t="b">
        <v>0</v>
      </c>
      <c r="FG56" s="1" t="b">
        <v>0</v>
      </c>
      <c r="FH56" s="1" t="b">
        <v>0</v>
      </c>
      <c r="FI56" s="1" t="b">
        <v>0</v>
      </c>
      <c r="FJ56" s="1" t="str" cm="1">
        <f t="array" ref="FJ56">DeathTraded(FG56,$O$5,DV8,$O$2,DV24,$O$3,DV40,$O$4,DV56,$O$5,DV72,$O$6,$R$2)</f>
        <v>N/A</v>
      </c>
      <c r="FK56" s="1" t="str" cm="1">
        <f t="array" ref="FK56:FP56">DetermineKill(ConvertToRoundTime(secandmin(CT8),secandmin(CJ26),CU8),CS8,CW8,CX8,CV8,CZ8,CY8,$O$5)</f>
        <v>NOLOC</v>
      </c>
      <c r="FL56" s="1" t="b">
        <v>0</v>
      </c>
      <c r="FM56" s="1" t="b">
        <v>0</v>
      </c>
      <c r="FN56" s="1" t="b">
        <v>0</v>
      </c>
      <c r="FO56" s="1" t="b">
        <v>0</v>
      </c>
      <c r="FP56" s="1" t="b">
        <v>0</v>
      </c>
      <c r="FQ56" s="1" t="str" cm="1">
        <f t="array" ref="FQ56">DeathTraded(FN56,$O$5,DV8,$O$2,DV24,$O$3,DV40,$O$4,DV56,$O$5,DV72,$O$6,$R$2)</f>
        <v>N/A</v>
      </c>
      <c r="FR56" s="1" t="str" cm="1">
        <f t="array" ref="FR56:FW56">DetermineKill(ConvertToRoundTime(secandmin(DC8),secandmin(CJ26),DD8),DB8,DF8,DG8,DE8,DI8,DH8,$O$5)</f>
        <v>NOLOC</v>
      </c>
      <c r="FS56" s="1" t="b">
        <v>0</v>
      </c>
      <c r="FT56" s="1" t="b">
        <v>0</v>
      </c>
      <c r="FU56" s="1" t="b">
        <v>0</v>
      </c>
      <c r="FV56" s="1" t="b">
        <v>0</v>
      </c>
      <c r="FW56" s="1" t="b">
        <v>0</v>
      </c>
      <c r="FX56" s="1" t="str" cm="1">
        <f t="array" ref="FX56">DeathTraded(FU56,$O$5,DV8,$O$2,DV24,$O$3,DV40,$O$4,DV56,$O$5,DV72,$O$6,$R$2)</f>
        <v>N/A</v>
      </c>
      <c r="FY56" s="4">
        <v>2</v>
      </c>
      <c r="FZ56" s="1">
        <f t="shared" ref="FZ56:FZ69" si="43">IF($U$2=TRUE,SUM(FV56,FO56,FH56,FA56,ET56),"NO DATA")</f>
        <v>0</v>
      </c>
      <c r="GA56" s="21">
        <f t="shared" ref="GA56:GA69" si="44">IF($U$2=TRUE,SUM(IF(CP26=$O$5,1,0),IF(CQ26=$O$5,1,0),IF(CR26=$O$5,1,0),IF(CS26=$O$5,1,0),IF(CT26=$O$5,1,0)),"NO DATA")</f>
        <v>0</v>
      </c>
      <c r="GB56" s="1" t="str">
        <f t="shared" si="37"/>
        <v>NODATA</v>
      </c>
      <c r="GC56" s="13" t="str">
        <f t="shared" ref="GC56:GC69" si="45">IF($T$2=TRUE,IF(AND(ISBLANK(AS26),CH26="Defence"),0,IF(NOT(CH26="Defence"),"",AS26)),"NODATA")</f>
        <v>NODATA</v>
      </c>
      <c r="GD56" s="1" t="str">
        <f t="shared" ref="GD56:GD69" si="46">IF($T$2=TRUE,IF(AND(ISBLANK(AG26),CH26="Attack"),FALSE,IF(NOT(CH26="Attack"),"",AG26)),"NODATA")</f>
        <v>NODATA</v>
      </c>
      <c r="GE56" s="1" t="str">
        <f t="shared" ref="GE56:GE69" si="47">IF($T$2=TRUE,IF(AND(ISBLANK(AF43),CH26="Attack"),2,IF(NOT(CH26="Attack"),"",AF43)),"NODATA")</f>
        <v>NODATA</v>
      </c>
      <c r="GF56" s="1" t="b" cm="1">
        <f t="array" ref="GF56">IF($V$2=TRUE,IF(CH26="Attack",ConvertToRoundTime(secandmin(BU26),secandmin(CJ26),BV26),""),"NO DATA")</f>
        <v>0</v>
      </c>
      <c r="GG56" s="1" t="b" cm="1">
        <f t="array" ref="GG56">IF($V$2=TRUE,IF(CH26="Attack",ConvertToRoundTime(secandmin(BW26),secandmin(CJ26),BX26),""),"NO DATA")</f>
        <v>0</v>
      </c>
    </row>
    <row r="57" spans="28:189" x14ac:dyDescent="0.25">
      <c r="DP57" s="37"/>
      <c r="DQ57" s="48" t="str">
        <f ca="1">A2</f>
        <v>8_22 Skyscraper_1</v>
      </c>
      <c r="DR57" s="5">
        <v>3</v>
      </c>
      <c r="DS57" s="1" t="str">
        <v>Attack</v>
      </c>
      <c r="DT57" s="1" t="str">
        <f t="shared" si="38"/>
        <v>Krypticz</v>
      </c>
      <c r="DU57" s="1" t="str">
        <v>Iana</v>
      </c>
      <c r="DV57" s="21" cm="1">
        <f t="array" ref="DV57">ConvertToRoundTime(secandmin(BA9),secandmin(CJ27),BB9)</f>
        <v>155</v>
      </c>
      <c r="DW57" s="1" t="str">
        <v>Rival</v>
      </c>
      <c r="DX57" s="1" t="b" cm="1">
        <f t="array" ref="DX57">DeathRefragged(DV57,MAX(ES9,ES25,ES41,ES57,ES73,FA90),MAX(EZ9,EZ25,EZ41,EZ57,EZ73,FI90),MAX(FG9,FG25,FG41,FG57,FG73,FP90),MAX(FN9,FN25,FN41,FN57,FN73,FW90),MAX(FU9,FU25,FU41,FU57,FU73,GD90),$Q$2)</f>
        <v>0</v>
      </c>
      <c r="DY57" s="1" t="b" cm="1">
        <f t="array" ref="DY57">DeathTraded(DV57,DW57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0</v>
      </c>
      <c r="DZ57" s="1" t="b">
        <v>0</v>
      </c>
      <c r="EA57" s="1" t="str">
        <v>NOLOC</v>
      </c>
      <c r="EB57" s="1" t="b" cm="1">
        <f t="array" ref="EB57">OpeningDeath(MAX(ES9,ES25,ES41,ES57,ES73),DV57,DV9,DV25,DV41,DV73)</f>
        <v>0</v>
      </c>
      <c r="EC57" s="1" t="b" cm="1">
        <f t="array" ref="EC57">EntryDeath(DV57,DV41,DV25,DV9,DV73)</f>
        <v>0</v>
      </c>
      <c r="ED57" s="5">
        <v>3</v>
      </c>
      <c r="EE57" s="1">
        <f t="shared" si="36"/>
        <v>0</v>
      </c>
      <c r="EF57" s="1">
        <f t="shared" si="39"/>
        <v>0</v>
      </c>
      <c r="EG57" s="1">
        <f t="shared" si="40"/>
        <v>0</v>
      </c>
      <c r="EH57" s="1" cm="1">
        <f t="array" ref="EH57">ExitFrag(EN57,MAX(DV9,DV25,DV41,DV73),MAX(ES9,ES25,ES41,ES57,ES73,FA90),MAX(EZ9,EZ25,EZ41,EZ57,EZ73,FI90),MAX(FG9,FG25,FG41,FG57,FG73,FP90),MAX(FN9,FN25,FN41,FN57,FN73,FW90),MAX(FU9,FU25,FU41,FU57,FU73,GD90))</f>
        <v>0</v>
      </c>
      <c r="EI57" s="1" t="b" cm="1">
        <f t="array" ref="EI57">OpeningKill(ES57,ES41,ES25,ES9,ES73,FB90,DV9,DV25,DV41,DV57,DV73)</f>
        <v>0</v>
      </c>
      <c r="EJ57" s="1" t="b">
        <f t="shared" si="41"/>
        <v>0</v>
      </c>
      <c r="EK57" s="5">
        <v>3</v>
      </c>
      <c r="EL57" s="1" t="b">
        <v>0</v>
      </c>
      <c r="EM57" s="1" t="b" cm="1">
        <f t="array" ref="EM57">IF(NOT(ISBLANK(CP27)),KOST(EE57,DY57,DV57,EL57),"NOT PLAYED")</f>
        <v>0</v>
      </c>
      <c r="EN57" s="1" t="b" cm="1">
        <f t="array" ref="EN57">OneVX(DV73,DV9,DV25,DV41,DV57)</f>
        <v>0</v>
      </c>
      <c r="EO57" s="1" t="b">
        <f t="shared" si="42"/>
        <v>0</v>
      </c>
      <c r="EP57" s="1" t="str" cm="1">
        <f t="array" ref="EP57:EU57">DetermineKill(ConvertToRoundTime(secandmin(BS9),secandmin(CJ27),BT9),BR9,BV9,BW9,BU9,BY9,BX9,$O$5)</f>
        <v>NOLOC</v>
      </c>
      <c r="EQ57" s="1" t="b">
        <v>0</v>
      </c>
      <c r="ER57" s="1" t="b">
        <v>0</v>
      </c>
      <c r="ES57" s="1" t="b">
        <v>0</v>
      </c>
      <c r="ET57" s="1" t="b">
        <v>0</v>
      </c>
      <c r="EU57" s="1" t="b">
        <v>0</v>
      </c>
      <c r="EV57" s="1" t="str" cm="1">
        <f t="array" ref="EV57">DeathTraded(ES57,$O$5,DV9,$O$2,DV25,$O$3,DV41,$O$4,DV57,$O$5,DV73,$O$6,$R$2)</f>
        <v>N/A</v>
      </c>
      <c r="EW57" s="1" t="str" cm="1">
        <f t="array" ref="EW57:FB57">DetermineKill(ConvertToRoundTime(secandmin(CB9),secandmin(CJ27),CC9),CA9,CE9,CF9,CD9,CH9,CG9,$O$5)</f>
        <v>NOLOC</v>
      </c>
      <c r="EX57" s="1" t="b">
        <v>0</v>
      </c>
      <c r="EY57" s="1" t="b">
        <v>0</v>
      </c>
      <c r="EZ57" s="1" t="b">
        <v>0</v>
      </c>
      <c r="FA57" s="1" t="b">
        <v>0</v>
      </c>
      <c r="FB57" s="1" t="b">
        <v>0</v>
      </c>
      <c r="FC57" s="1" t="str" cm="1">
        <f t="array" ref="FC57">DeathTraded(EZ57,$O$5,DV9,$O$2,DV25,$O$3,DV41,$O$4,DV57,$O$5,DV73,$O$6,$R$2)</f>
        <v>N/A</v>
      </c>
      <c r="FD57" s="1" t="str" cm="1">
        <f t="array" ref="FD57:FI57">DetermineKill(ConvertToRoundTime(secandmin(CK9),secandmin(CJ27),CL9),CJ9,CN9,CO9,CM9,CQ9,CP9,$O$5)</f>
        <v>NOLOC</v>
      </c>
      <c r="FE57" s="1" t="b">
        <v>0</v>
      </c>
      <c r="FF57" s="1" t="b">
        <v>0</v>
      </c>
      <c r="FG57" s="1" t="b">
        <v>0</v>
      </c>
      <c r="FH57" s="1" t="b">
        <v>0</v>
      </c>
      <c r="FI57" s="1" t="b">
        <v>0</v>
      </c>
      <c r="FJ57" s="1" t="str" cm="1">
        <f t="array" ref="FJ57">DeathTraded(FG57,$O$5,DV9,$O$2,DV25,$O$3,DV41,$O$4,DV57,$O$5,DV73,$O$6,$R$2)</f>
        <v>N/A</v>
      </c>
      <c r="FK57" s="1" t="str" cm="1">
        <f t="array" ref="FK57:FP57">DetermineKill(ConvertToRoundTime(secandmin(CT9),secandmin(CJ27),CU9),CS9,CW9,CX9,CV9,CZ9,CY9,$O$5)</f>
        <v>NOLOC</v>
      </c>
      <c r="FL57" s="1" t="b">
        <v>0</v>
      </c>
      <c r="FM57" s="1" t="b">
        <v>0</v>
      </c>
      <c r="FN57" s="1" t="b">
        <v>0</v>
      </c>
      <c r="FO57" s="1" t="b">
        <v>0</v>
      </c>
      <c r="FP57" s="1" t="b">
        <v>0</v>
      </c>
      <c r="FQ57" s="1" t="str" cm="1">
        <f t="array" ref="FQ57">DeathTraded(FN57,$O$5,DV9,$O$2,DV25,$O$3,DV41,$O$4,DV57,$O$5,DV73,$O$6,$R$2)</f>
        <v>N/A</v>
      </c>
      <c r="FR57" s="1" t="str" cm="1">
        <f t="array" ref="FR57:FW57">DetermineKill(ConvertToRoundTime(secandmin(DC9),secandmin(CJ27),DD9),DB9,DF9,DG9,DE9,DI9,DH9,$O$5)</f>
        <v>NOLOC</v>
      </c>
      <c r="FS57" s="1" t="b">
        <v>0</v>
      </c>
      <c r="FT57" s="1" t="b">
        <v>0</v>
      </c>
      <c r="FU57" s="1" t="b">
        <v>0</v>
      </c>
      <c r="FV57" s="1" t="b">
        <v>0</v>
      </c>
      <c r="FW57" s="1" t="b">
        <v>0</v>
      </c>
      <c r="FX57" s="1" t="str" cm="1">
        <f t="array" ref="FX57">DeathTraded(FU57,$O$5,DV9,$O$2,DV25,$O$3,DV41,$O$4,DV57,$O$5,DV73,$O$6,$R$2)</f>
        <v>N/A</v>
      </c>
      <c r="FY57" s="5">
        <v>3</v>
      </c>
      <c r="FZ57" s="1">
        <f t="shared" si="43"/>
        <v>0</v>
      </c>
      <c r="GA57" s="21">
        <f t="shared" si="44"/>
        <v>0</v>
      </c>
      <c r="GB57" s="1" t="str">
        <f t="shared" si="37"/>
        <v>NODATA</v>
      </c>
      <c r="GC57" s="13" t="str">
        <f t="shared" si="45"/>
        <v>NODATA</v>
      </c>
      <c r="GD57" s="1" t="str">
        <f t="shared" si="46"/>
        <v>NODATA</v>
      </c>
      <c r="GE57" s="1" t="str">
        <f t="shared" si="47"/>
        <v>NODATA</v>
      </c>
      <c r="GF57" s="1" t="b" cm="1">
        <f t="array" ref="GF57">IF($V$2=TRUE,IF(CH27="Attack",ConvertToRoundTime(secandmin(BU27),secandmin(CJ27),BV27),""),"NO DATA")</f>
        <v>0</v>
      </c>
      <c r="GG57" s="1" t="b" cm="1">
        <f t="array" ref="GG57">IF($V$2=TRUE,IF(CH27="Attack",ConvertToRoundTime(secandmin(BW27),secandmin(CJ27),BX27),""),"NO DATA")</f>
        <v>0</v>
      </c>
    </row>
    <row r="58" spans="28:189" x14ac:dyDescent="0.25">
      <c r="DP58" s="37"/>
      <c r="DQ58" s="48" t="str">
        <f ca="1">A2</f>
        <v>8_22 Skyscraper_1</v>
      </c>
      <c r="DR58" s="4">
        <v>4</v>
      </c>
      <c r="DS58" s="1" t="str">
        <v>Attack</v>
      </c>
      <c r="DT58" s="1" t="str">
        <f t="shared" si="38"/>
        <v>Krypticz</v>
      </c>
      <c r="DU58" s="1" t="str">
        <v>Iana</v>
      </c>
      <c r="DV58" s="21" t="b" cm="1">
        <f t="array" ref="DV58">ConvertToRoundTime(secandmin(BA10),secandmin(CJ28),BB10)</f>
        <v>0</v>
      </c>
      <c r="DW58" s="1" t="b">
        <v>0</v>
      </c>
      <c r="DX58" s="1" t="str" cm="1">
        <f t="array" ref="DX58">DeathRefragged(DV58,MAX(ES10,ES26,ES42,ES58,ES74,FA91),MAX(EZ10,EZ26,EZ42,EZ58,EZ74,FI91),MAX(FG10,FG26,FG42,FG58,FG74,FP91),MAX(FN10,FN26,FN42,FN58,FN74,FW91),MAX(FU10,FU26,FU42,FU58,FU74,GD91),$Q$2)</f>
        <v>N/A</v>
      </c>
      <c r="DY58" s="1" t="str" cm="1">
        <f t="array" ref="DY58">DeathTraded(DV58,DW58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N/A</v>
      </c>
      <c r="DZ58" s="1" t="b">
        <v>0</v>
      </c>
      <c r="EA58" s="1" t="str">
        <v>NOLOC</v>
      </c>
      <c r="EB58" s="1" t="b" cm="1">
        <f t="array" ref="EB58">OpeningDeath(MAX(ES10,ES26,ES42,ES58,ES74),DV58,DV10,DV26,DV42,DV74)</f>
        <v>0</v>
      </c>
      <c r="EC58" s="1" t="b" cm="1">
        <f t="array" ref="EC58">EntryDeath(DV58,DV42,DV26,DV10,DV74)</f>
        <v>0</v>
      </c>
      <c r="ED58" s="4">
        <v>4</v>
      </c>
      <c r="EE58" s="1">
        <f t="shared" si="36"/>
        <v>0</v>
      </c>
      <c r="EF58" s="1">
        <f t="shared" si="39"/>
        <v>0</v>
      </c>
      <c r="EG58" s="1">
        <f t="shared" si="40"/>
        <v>0</v>
      </c>
      <c r="EH58" s="1" cm="1">
        <f t="array" ref="EH58">ExitFrag(EN58,MAX(DV10,DV26,DV42,DV74),MAX(ES10,ES26,ES42,ES58,ES74,FA91),MAX(EZ10,EZ26,EZ42,EZ58,EZ74,FI91),MAX(FG10,FG26,FG42,FG58,FG74,FP91),MAX(FN10,FN26,FN42,FN58,FN74,FW91),MAX(FU10,FU26,FU42,FU58,FU74,GD91))</f>
        <v>0</v>
      </c>
      <c r="EI58" s="1" t="b" cm="1">
        <f t="array" ref="EI58">OpeningKill(ES58,ES42,ES26,ES10,ES74,FB91,DV10,DV26,DV42,DV58,DV74)</f>
        <v>0</v>
      </c>
      <c r="EJ58" s="1" t="b">
        <f t="shared" si="41"/>
        <v>0</v>
      </c>
      <c r="EK58" s="4">
        <v>4</v>
      </c>
      <c r="EL58" s="1" t="b">
        <v>0</v>
      </c>
      <c r="EM58" s="1" t="b" cm="1">
        <f t="array" ref="EM58">IF(NOT(ISBLANK(CP28)),KOST(EE58,DY58,DV58,EL58),"NOT PLAYED")</f>
        <v>1</v>
      </c>
      <c r="EN58" s="1" t="b" cm="1">
        <f t="array" ref="EN58">OneVX(DV74,DV10,DV26,DV42,DV58)</f>
        <v>0</v>
      </c>
      <c r="EO58" s="1" t="b">
        <f t="shared" si="42"/>
        <v>0</v>
      </c>
      <c r="EP58" s="1" t="str" cm="1">
        <f t="array" ref="EP58:EU58">DetermineKill(ConvertToRoundTime(secandmin(BS10),secandmin(CJ28),BT10),BR10,BV10,BW10,BU10,BY10,BX10,$O$5)</f>
        <v>NOLOC</v>
      </c>
      <c r="EQ58" s="1" t="b">
        <v>0</v>
      </c>
      <c r="ER58" s="1" t="b">
        <v>0</v>
      </c>
      <c r="ES58" s="1" t="b">
        <v>0</v>
      </c>
      <c r="ET58" s="1" t="b">
        <v>0</v>
      </c>
      <c r="EU58" s="1" t="b">
        <v>0</v>
      </c>
      <c r="EV58" s="1" t="str" cm="1">
        <f t="array" ref="EV58">DeathTraded(ES58,$O$5,DV10,$O$2,DV26,$O$3,DV42,$O$4,DV58,$O$5,DV74,$O$6,$R$2)</f>
        <v>N/A</v>
      </c>
      <c r="EW58" s="1" t="str" cm="1">
        <f t="array" ref="EW58:FB58">DetermineKill(ConvertToRoundTime(secandmin(CB10),secandmin(CJ28),CC10),CA10,CE10,CF10,CD10,CH10,CG10,$O$5)</f>
        <v>NOLOC</v>
      </c>
      <c r="EX58" s="1" t="b">
        <v>0</v>
      </c>
      <c r="EY58" s="1" t="b">
        <v>0</v>
      </c>
      <c r="EZ58" s="1" t="b">
        <v>0</v>
      </c>
      <c r="FA58" s="1" t="b">
        <v>0</v>
      </c>
      <c r="FB58" s="1" t="b">
        <v>0</v>
      </c>
      <c r="FC58" s="1" t="str" cm="1">
        <f t="array" ref="FC58">DeathTraded(EZ58,$O$5,DV10,$O$2,DV26,$O$3,DV42,$O$4,DV58,$O$5,DV74,$O$6,$R$2)</f>
        <v>N/A</v>
      </c>
      <c r="FD58" s="1" t="str" cm="1">
        <f t="array" ref="FD58:FI58">DetermineKill(ConvertToRoundTime(secandmin(CK10),secandmin(CJ28),CL10),CJ10,CN10,CO10,CM10,CQ10,CP10,$O$5)</f>
        <v>NOLOC</v>
      </c>
      <c r="FE58" s="1" t="b">
        <v>0</v>
      </c>
      <c r="FF58" s="1" t="b">
        <v>0</v>
      </c>
      <c r="FG58" s="1" t="b">
        <v>0</v>
      </c>
      <c r="FH58" s="1" t="b">
        <v>0</v>
      </c>
      <c r="FI58" s="1" t="b">
        <v>0</v>
      </c>
      <c r="FJ58" s="1" t="str" cm="1">
        <f t="array" ref="FJ58">DeathTraded(FG58,$O$5,DV10,$O$2,DV26,$O$3,DV42,$O$4,DV58,$O$5,DV74,$O$6,$R$2)</f>
        <v>N/A</v>
      </c>
      <c r="FK58" s="1" t="str" cm="1">
        <f t="array" ref="FK58:FP58">DetermineKill(ConvertToRoundTime(secandmin(CT10),secandmin(CJ28),CU10),CS10,CW10,CX10,CV10,CZ10,CY10,$O$5)</f>
        <v>NOLOC</v>
      </c>
      <c r="FL58" s="1" t="b">
        <v>0</v>
      </c>
      <c r="FM58" s="1" t="b">
        <v>0</v>
      </c>
      <c r="FN58" s="1" t="b">
        <v>0</v>
      </c>
      <c r="FO58" s="1" t="b">
        <v>0</v>
      </c>
      <c r="FP58" s="1" t="b">
        <v>0</v>
      </c>
      <c r="FQ58" s="1" t="str" cm="1">
        <f t="array" ref="FQ58">DeathTraded(FN58,$O$5,DV10,$O$2,DV26,$O$3,DV42,$O$4,DV58,$O$5,DV74,$O$6,$R$2)</f>
        <v>N/A</v>
      </c>
      <c r="FR58" s="1" t="str" cm="1">
        <f t="array" ref="FR58:FW58">DetermineKill(ConvertToRoundTime(secandmin(DC10),secandmin(CJ28),DD10),DB10,DF10,DG10,DE10,DI10,DH10,$O$5)</f>
        <v>NOLOC</v>
      </c>
      <c r="FS58" s="1" t="b">
        <v>0</v>
      </c>
      <c r="FT58" s="1" t="b">
        <v>0</v>
      </c>
      <c r="FU58" s="1" t="b">
        <v>0</v>
      </c>
      <c r="FV58" s="1" t="b">
        <v>0</v>
      </c>
      <c r="FW58" s="1" t="b">
        <v>0</v>
      </c>
      <c r="FX58" s="1" t="str" cm="1">
        <f t="array" ref="FX58">DeathTraded(FU58,$O$5,DV10,$O$2,DV26,$O$3,DV42,$O$4,DV58,$O$5,DV74,$O$6,$R$2)</f>
        <v>N/A</v>
      </c>
      <c r="FY58" s="4">
        <v>4</v>
      </c>
      <c r="FZ58" s="1">
        <f t="shared" si="43"/>
        <v>0</v>
      </c>
      <c r="GA58" s="21">
        <f t="shared" si="44"/>
        <v>0</v>
      </c>
      <c r="GB58" s="1" t="str">
        <f t="shared" si="37"/>
        <v>NODATA</v>
      </c>
      <c r="GC58" s="13" t="str">
        <f t="shared" si="45"/>
        <v>NODATA</v>
      </c>
      <c r="GD58" s="1" t="str">
        <f t="shared" si="46"/>
        <v>NODATA</v>
      </c>
      <c r="GE58" s="1" t="str">
        <f t="shared" si="47"/>
        <v>NODATA</v>
      </c>
      <c r="GF58" s="1" t="b" cm="1">
        <f t="array" ref="GF58">IF($V$2=TRUE,IF(CH28="Attack",ConvertToRoundTime(secandmin(BU28),secandmin(CJ28),BV28),""),"NO DATA")</f>
        <v>0</v>
      </c>
      <c r="GG58" s="1" t="b" cm="1">
        <f t="array" ref="GG58">IF($V$2=TRUE,IF(CH28="Attack",ConvertToRoundTime(secandmin(BW28),secandmin(CJ28),BX28),""),"NO DATA")</f>
        <v>0</v>
      </c>
    </row>
    <row r="59" spans="28:189" x14ac:dyDescent="0.25">
      <c r="DP59" s="37"/>
      <c r="DQ59" s="48" t="str">
        <f ca="1">A2</f>
        <v>8_22 Skyscraper_1</v>
      </c>
      <c r="DR59" s="5">
        <v>5</v>
      </c>
      <c r="DS59" s="1" t="str">
        <v>Attack</v>
      </c>
      <c r="DT59" s="1" t="str">
        <f t="shared" si="38"/>
        <v>Krypticz</v>
      </c>
      <c r="DU59" s="1" t="str">
        <v>Iana</v>
      </c>
      <c r="DV59" s="21" cm="1">
        <f t="array" ref="DV59">ConvertToRoundTime(secandmin(BA11),secandmin(CJ29),BB11)</f>
        <v>151</v>
      </c>
      <c r="DW59" s="1" t="str">
        <v>Snipey</v>
      </c>
      <c r="DX59" s="1" t="b" cm="1">
        <f t="array" ref="DX59">DeathRefragged(DV59,MAX(ES11,ES27,ES43,ES59,ES75,FA92),MAX(EZ11,EZ27,EZ43,EZ59,EZ75,FI92),MAX(FG11,FG27,FG43,FG59,FG75,FP92),MAX(FN11,FN27,FN43,FN59,FN75,FW92),MAX(FU11,FU27,FU43,FU59,FU75,GD92),$Q$2)</f>
        <v>0</v>
      </c>
      <c r="DY59" s="1" t="b" cm="1">
        <f t="array" ref="DY59">DeathTraded(DV59,DW59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0</v>
      </c>
      <c r="DZ59" s="1" t="b">
        <v>0</v>
      </c>
      <c r="EA59" s="1" t="str">
        <v>NOLOC</v>
      </c>
      <c r="EB59" s="1" t="b" cm="1">
        <f t="array" ref="EB59">OpeningDeath(MAX(ES11,ES27,ES43,ES59,ES75),DV59,DV11,DV27,DV43,DV75)</f>
        <v>0</v>
      </c>
      <c r="EC59" s="1" t="b" cm="1">
        <f t="array" ref="EC59">EntryDeath(DV59,DV43,DV27,DV11,DV75)</f>
        <v>0</v>
      </c>
      <c r="ED59" s="5">
        <v>5</v>
      </c>
      <c r="EE59" s="1">
        <f t="shared" si="36"/>
        <v>0</v>
      </c>
      <c r="EF59" s="1">
        <f t="shared" si="39"/>
        <v>0</v>
      </c>
      <c r="EG59" s="1">
        <f t="shared" si="40"/>
        <v>0</v>
      </c>
      <c r="EH59" s="1" cm="1">
        <f t="array" ref="EH59">ExitFrag(EN59,MAX(DV11,DV27,DV43,DV75),MAX(ES11,ES27,ES43,ES59,ES75,FA92),MAX(EZ11,EZ27,EZ43,EZ59,EZ75,FI92),MAX(FG11,FG27,FG43,FG59,FG75,FP92),MAX(FN11,FN27,FN43,FN59,FN75,FW92),MAX(FU11,FU27,FU43,FU59,FU75,GD92))</f>
        <v>0</v>
      </c>
      <c r="EI59" s="1" t="b" cm="1">
        <f t="array" ref="EI59">OpeningKill(ES59,ES43,ES27,ES11,ES75,FB92,DV11,DV27,DV43,DV59,DV75)</f>
        <v>0</v>
      </c>
      <c r="EJ59" s="1" t="b">
        <f t="shared" si="41"/>
        <v>0</v>
      </c>
      <c r="EK59" s="5">
        <v>5</v>
      </c>
      <c r="EL59" s="1" t="b">
        <v>0</v>
      </c>
      <c r="EM59" s="1" t="b" cm="1">
        <f t="array" ref="EM59">IF(NOT(ISBLANK(CP29)),KOST(EE59,DY59,DV59,EL59),"NOT PLAYED")</f>
        <v>0</v>
      </c>
      <c r="EN59" s="1" t="b" cm="1">
        <f t="array" ref="EN59">OneVX(DV75,DV11,DV27,DV43,DV59)</f>
        <v>1</v>
      </c>
      <c r="EO59" s="1" t="b">
        <f t="shared" si="42"/>
        <v>0</v>
      </c>
      <c r="EP59" s="1" t="str" cm="1">
        <f t="array" ref="EP59:EU59">DetermineKill(ConvertToRoundTime(secandmin(BS11),secandmin(CJ29),BT11),BR11,BV11,BW11,BU11,BY11,BX11,$O$5)</f>
        <v>NOLOC</v>
      </c>
      <c r="EQ59" s="1" t="b">
        <v>0</v>
      </c>
      <c r="ER59" s="1" t="b">
        <v>0</v>
      </c>
      <c r="ES59" s="1" t="b">
        <v>0</v>
      </c>
      <c r="ET59" s="1" t="b">
        <v>0</v>
      </c>
      <c r="EU59" s="1" t="b">
        <v>0</v>
      </c>
      <c r="EV59" s="1" t="str" cm="1">
        <f t="array" ref="EV59">DeathTraded(ES59,$O$5,DV11,$O$2,DV27,$O$3,DV43,$O$4,DV59,$O$5,DV75,$O$6,$R$2)</f>
        <v>N/A</v>
      </c>
      <c r="EW59" s="1" t="str" cm="1">
        <f t="array" ref="EW59:FB59">DetermineKill(ConvertToRoundTime(secandmin(CB11),secandmin(CJ29),CC11),CA11,CE11,CF11,CD11,CH11,CG11,$O$5)</f>
        <v>NOLOC</v>
      </c>
      <c r="EX59" s="1" t="b">
        <v>0</v>
      </c>
      <c r="EY59" s="1" t="b">
        <v>0</v>
      </c>
      <c r="EZ59" s="1" t="b">
        <v>0</v>
      </c>
      <c r="FA59" s="1" t="b">
        <v>0</v>
      </c>
      <c r="FB59" s="1" t="b">
        <v>0</v>
      </c>
      <c r="FC59" s="1" t="str" cm="1">
        <f t="array" ref="FC59">DeathTraded(EZ59,$O$5,DV11,$O$2,DV27,$O$3,DV43,$O$4,DV59,$O$5,DV75,$O$6,$R$2)</f>
        <v>N/A</v>
      </c>
      <c r="FD59" s="1" t="str" cm="1">
        <f t="array" ref="FD59:FI59">DetermineKill(ConvertToRoundTime(secandmin(CK11),secandmin(CJ29),CL11),CJ11,CN11,CO11,CM11,CQ11,CP11,$O$5)</f>
        <v>NOLOC</v>
      </c>
      <c r="FE59" s="1" t="b">
        <v>0</v>
      </c>
      <c r="FF59" s="1" t="b">
        <v>0</v>
      </c>
      <c r="FG59" s="1" t="b">
        <v>0</v>
      </c>
      <c r="FH59" s="1" t="b">
        <v>0</v>
      </c>
      <c r="FI59" s="1" t="b">
        <v>0</v>
      </c>
      <c r="FJ59" s="1" t="str" cm="1">
        <f t="array" ref="FJ59">DeathTraded(FG59,$O$5,DV11,$O$2,DV27,$O$3,DV43,$O$4,DV59,$O$5,DV75,$O$6,$R$2)</f>
        <v>N/A</v>
      </c>
      <c r="FK59" s="1" t="str" cm="1">
        <f t="array" ref="FK59:FP59">DetermineKill(ConvertToRoundTime(secandmin(CT11),secandmin(CJ29),CU11),CS11,CW11,CX11,CV11,CZ11,CY11,$O$5)</f>
        <v>NOLOC</v>
      </c>
      <c r="FL59" s="1" t="b">
        <v>0</v>
      </c>
      <c r="FM59" s="1" t="b">
        <v>0</v>
      </c>
      <c r="FN59" s="1" t="b">
        <v>0</v>
      </c>
      <c r="FO59" s="1" t="b">
        <v>0</v>
      </c>
      <c r="FP59" s="1" t="b">
        <v>0</v>
      </c>
      <c r="FQ59" s="1" t="str" cm="1">
        <f t="array" ref="FQ59">DeathTraded(FN59,$O$5,DV11,$O$2,DV27,$O$3,DV43,$O$4,DV59,$O$5,DV75,$O$6,$R$2)</f>
        <v>N/A</v>
      </c>
      <c r="FR59" s="1" t="str" cm="1">
        <f t="array" ref="FR59:FW59">DetermineKill(ConvertToRoundTime(secandmin(DC11),secandmin(CJ29),DD11),DB11,DF11,DG11,DE11,DI11,DH11,$O$5)</f>
        <v>NOLOC</v>
      </c>
      <c r="FS59" s="1" t="b">
        <v>0</v>
      </c>
      <c r="FT59" s="1" t="b">
        <v>0</v>
      </c>
      <c r="FU59" s="1" t="b">
        <v>0</v>
      </c>
      <c r="FV59" s="1" t="b">
        <v>0</v>
      </c>
      <c r="FW59" s="1" t="b">
        <v>0</v>
      </c>
      <c r="FX59" s="1" t="str" cm="1">
        <f t="array" ref="FX59">DeathTraded(FU59,$O$5,DV11,$O$2,DV27,$O$3,DV43,$O$4,DV59,$O$5,DV75,$O$6,$R$2)</f>
        <v>N/A</v>
      </c>
      <c r="FY59" s="5">
        <v>5</v>
      </c>
      <c r="FZ59" s="1">
        <f t="shared" si="43"/>
        <v>0</v>
      </c>
      <c r="GA59" s="21">
        <f t="shared" si="44"/>
        <v>0</v>
      </c>
      <c r="GB59" s="1" t="str">
        <f t="shared" si="37"/>
        <v>NODATA</v>
      </c>
      <c r="GC59" s="13" t="str">
        <f t="shared" si="45"/>
        <v>NODATA</v>
      </c>
      <c r="GD59" s="1" t="str">
        <f t="shared" si="46"/>
        <v>NODATA</v>
      </c>
      <c r="GE59" s="1" t="str">
        <f t="shared" si="47"/>
        <v>NODATA</v>
      </c>
      <c r="GF59" s="1" t="b" cm="1">
        <f t="array" ref="GF59">IF($V$2=TRUE,IF(CH29="Attack",ConvertToRoundTime(secandmin(BU29),secandmin(CJ29),BV29),""),"NO DATA")</f>
        <v>0</v>
      </c>
      <c r="GG59" s="1" t="b" cm="1">
        <f t="array" ref="GG59">IF($V$2=TRUE,IF(CH29="Attack",ConvertToRoundTime(secandmin(BW29),secandmin(CJ29),BX29),""),"NO DATA")</f>
        <v>0</v>
      </c>
    </row>
    <row r="60" spans="28:189" x14ac:dyDescent="0.25">
      <c r="DP60" s="37"/>
      <c r="DQ60" s="48" t="str">
        <f ca="1">A2</f>
        <v>8_22 Skyscraper_1</v>
      </c>
      <c r="DR60" s="4">
        <v>6</v>
      </c>
      <c r="DS60" s="1" t="str">
        <v>Attack</v>
      </c>
      <c r="DT60" s="1" t="str">
        <f t="shared" si="38"/>
        <v>Krypticz</v>
      </c>
      <c r="DU60" s="1" t="str">
        <v>Iana</v>
      </c>
      <c r="DV60" s="21" cm="1">
        <f t="array" ref="DV60">ConvertToRoundTime(secandmin(BA12),secandmin(CJ30),BB12)</f>
        <v>176</v>
      </c>
      <c r="DW60" s="1" t="str">
        <v>Floofs</v>
      </c>
      <c r="DX60" s="1" t="b" cm="1">
        <f t="array" ref="DX60">DeathRefragged(DV60,MAX(ES12,ES28,ES44,ES60,ES76,FA93),MAX(EZ12,EZ28,EZ44,EZ60,EZ76,FI93),MAX(FG12,FG28,FG44,FG60,FG76,FP93),MAX(FN12,FN28,FN44,FN60,FN76,FW93),MAX(FU12,FU28,FU44,FU60,FU76,GD93),$Q$2)</f>
        <v>0</v>
      </c>
      <c r="DY60" s="1" t="b" cm="1">
        <f t="array" ref="DY60">DeathTraded(DV60,DW60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0</v>
      </c>
      <c r="DZ60" s="1" t="b">
        <v>0</v>
      </c>
      <c r="EA60" s="1" t="str">
        <v>NOLOC</v>
      </c>
      <c r="EB60" s="1" t="b" cm="1">
        <f t="array" ref="EB60">OpeningDeath(MAX(ES12,ES28,ES44,ES60,ES76),DV60,DV12,DV28,DV44,DV76)</f>
        <v>0</v>
      </c>
      <c r="EC60" s="1" t="b" cm="1">
        <f t="array" ref="EC60">EntryDeath(DV60,DV44,DV28,DV12,DV76)</f>
        <v>0</v>
      </c>
      <c r="ED60" s="4">
        <v>6</v>
      </c>
      <c r="EE60" s="1">
        <f t="shared" si="36"/>
        <v>1</v>
      </c>
      <c r="EF60" s="1">
        <f t="shared" si="39"/>
        <v>0</v>
      </c>
      <c r="EG60" s="1">
        <f t="shared" si="40"/>
        <v>0</v>
      </c>
      <c r="EH60" s="1" cm="1">
        <f t="array" ref="EH60">ExitFrag(EN60,MAX(DV12,DV28,DV44,DV76),MAX(ES12,ES28,ES44,ES60,ES76,FA93),MAX(EZ12,EZ28,EZ44,EZ60,EZ76,FI93),MAX(FG12,FG28,FG44,FG60,FG76,FP93),MAX(FN12,FN28,FN44,FN60,FN76,FW93),MAX(FU12,FU28,FU44,FU60,FU76,GD93))</f>
        <v>0</v>
      </c>
      <c r="EI60" s="1" t="b" cm="1">
        <f t="array" ref="EI60">OpeningKill(ES60,ES44,ES28,ES12,ES76,FB93,DV12,DV28,DV44,DV60,DV76)</f>
        <v>0</v>
      </c>
      <c r="EJ60" s="1" t="b">
        <f t="shared" si="41"/>
        <v>0</v>
      </c>
      <c r="EK60" s="4">
        <v>6</v>
      </c>
      <c r="EL60" s="1" t="b">
        <v>0</v>
      </c>
      <c r="EM60" s="1" t="b" cm="1">
        <f t="array" ref="EM60">IF(NOT(ISBLANK(CP30)),KOST(EE60,DY60,DV60,EL60),"NOT PLAYED")</f>
        <v>1</v>
      </c>
      <c r="EN60" s="1" t="b" cm="1">
        <f t="array" ref="EN60">OneVX(DV76,DV12,DV28,DV44,DV60)</f>
        <v>0</v>
      </c>
      <c r="EO60" s="1" t="b">
        <f t="shared" si="42"/>
        <v>0</v>
      </c>
      <c r="EP60" s="1" t="str" cm="1">
        <f t="array" ref="EP60:EU60">DetermineKill(ConvertToRoundTime(secandmin(BS12),secandmin(CJ30),BT12),BR12,BV12,BW12,BU12,BY12,BX12,$O$5)</f>
        <v>NOLOC</v>
      </c>
      <c r="EQ60" s="1" t="b">
        <v>0</v>
      </c>
      <c r="ER60" s="1" t="b">
        <v>0</v>
      </c>
      <c r="ES60" s="1" t="b">
        <v>0</v>
      </c>
      <c r="ET60" s="1" t="b">
        <v>0</v>
      </c>
      <c r="EU60" s="1" t="b">
        <v>0</v>
      </c>
      <c r="EV60" s="1" t="str" cm="1">
        <f t="array" ref="EV60">DeathTraded(ES60,$O$5,DV12,$O$2,DV28,$O$3,DV44,$O$4,DV60,$O$5,DV76,$O$6,$R$2)</f>
        <v>N/A</v>
      </c>
      <c r="EW60" s="1" t="str" cm="1">
        <f t="array" ref="EW60:FB60">DetermineKill(ConvertToRoundTime(secandmin(CB12),secandmin(CJ30),CC12),CA12,CE12,CF12,CD12,CH12,CG12,$O$5)</f>
        <v>UNKNOWN</v>
      </c>
      <c r="EX60" s="1" t="b">
        <v>0</v>
      </c>
      <c r="EY60" s="1" t="str">
        <v>Kouiyn</v>
      </c>
      <c r="EZ60" s="1">
        <v>105</v>
      </c>
      <c r="FA60" s="1" t="b">
        <v>0</v>
      </c>
      <c r="FB60" s="1" t="b">
        <v>0</v>
      </c>
      <c r="FC60" s="1" t="b" cm="1">
        <f t="array" ref="FC60">DeathTraded(EZ60,$O$5,DV12,$O$2,DV28,$O$3,DV44,$O$4,DV60,$O$5,DV76,$O$6,$R$2)</f>
        <v>0</v>
      </c>
      <c r="FD60" s="1" t="str" cm="1">
        <f t="array" ref="FD60:FI60">DetermineKill(ConvertToRoundTime(secandmin(CK12),secandmin(CJ30),CL12),CJ12,CN12,CO12,CM12,CQ12,CP12,$O$5)</f>
        <v>NOLOC</v>
      </c>
      <c r="FE60" s="1" t="b">
        <v>0</v>
      </c>
      <c r="FF60" s="1" t="b">
        <v>0</v>
      </c>
      <c r="FG60" s="1" t="b">
        <v>0</v>
      </c>
      <c r="FH60" s="1" t="b">
        <v>0</v>
      </c>
      <c r="FI60" s="1" t="b">
        <v>0</v>
      </c>
      <c r="FJ60" s="1" t="str" cm="1">
        <f t="array" ref="FJ60">DeathTraded(FG60,$O$5,DV12,$O$2,DV28,$O$3,DV44,$O$4,DV60,$O$5,DV76,$O$6,$R$2)</f>
        <v>N/A</v>
      </c>
      <c r="FK60" s="1" t="str" cm="1">
        <f t="array" ref="FK60:FP60">DetermineKill(ConvertToRoundTime(secandmin(CT12),secandmin(CJ30),CU12),CS12,CW12,CX12,CV12,CZ12,CY12,$O$5)</f>
        <v>NOLOC</v>
      </c>
      <c r="FL60" s="1" t="b">
        <v>0</v>
      </c>
      <c r="FM60" s="1" t="b">
        <v>0</v>
      </c>
      <c r="FN60" s="1" t="b">
        <v>0</v>
      </c>
      <c r="FO60" s="1" t="b">
        <v>0</v>
      </c>
      <c r="FP60" s="1" t="b">
        <v>0</v>
      </c>
      <c r="FQ60" s="1" t="str" cm="1">
        <f t="array" ref="FQ60">DeathTraded(FN60,$O$5,DV12,$O$2,DV28,$O$3,DV44,$O$4,DV60,$O$5,DV76,$O$6,$R$2)</f>
        <v>N/A</v>
      </c>
      <c r="FR60" s="1" t="str" cm="1">
        <f t="array" ref="FR60:FW60">DetermineKill(ConvertToRoundTime(secandmin(DC12),secandmin(CJ30),DD12),DB12,DF12,DG12,DE12,DI12,DH12,$O$5)</f>
        <v>NOLOC</v>
      </c>
      <c r="FS60" s="1" t="b">
        <v>0</v>
      </c>
      <c r="FT60" s="1" t="b">
        <v>0</v>
      </c>
      <c r="FU60" s="1" t="b">
        <v>0</v>
      </c>
      <c r="FV60" s="1" t="b">
        <v>0</v>
      </c>
      <c r="FW60" s="1" t="b">
        <v>0</v>
      </c>
      <c r="FX60" s="1" t="str" cm="1">
        <f t="array" ref="FX60">DeathTraded(FU60,$O$5,DV12,$O$2,DV28,$O$3,DV44,$O$4,DV60,$O$5,DV76,$O$6,$R$2)</f>
        <v>N/A</v>
      </c>
      <c r="FY60" s="4">
        <v>6</v>
      </c>
      <c r="FZ60" s="1">
        <f t="shared" si="43"/>
        <v>0</v>
      </c>
      <c r="GA60" s="21">
        <f t="shared" si="44"/>
        <v>0</v>
      </c>
      <c r="GB60" s="1" t="str">
        <f t="shared" si="37"/>
        <v>NODATA</v>
      </c>
      <c r="GC60" s="13" t="str">
        <f t="shared" si="45"/>
        <v>NODATA</v>
      </c>
      <c r="GD60" s="1" t="str">
        <f t="shared" si="46"/>
        <v>NODATA</v>
      </c>
      <c r="GE60" s="1" t="str">
        <f t="shared" si="47"/>
        <v>NODATA</v>
      </c>
      <c r="GF60" s="1" t="b" cm="1">
        <f t="array" ref="GF60">IF($V$2=TRUE,IF(CH30="Attack",ConvertToRoundTime(secandmin(BU30),secandmin(CJ30),BV30),""),"NO DATA")</f>
        <v>0</v>
      </c>
      <c r="GG60" s="1" t="b" cm="1">
        <f t="array" ref="GG60">IF($V$2=TRUE,IF(CH30="Attack",ConvertToRoundTime(secandmin(BW30),secandmin(CJ30),BX30),""),"NO DATA")</f>
        <v>0</v>
      </c>
    </row>
    <row r="61" spans="28:189" x14ac:dyDescent="0.25">
      <c r="DP61" s="37"/>
      <c r="DQ61" s="48" t="str">
        <f ca="1">A2</f>
        <v>8_22 Skyscraper_1</v>
      </c>
      <c r="DR61" s="5">
        <v>7</v>
      </c>
      <c r="DS61" s="1" t="str">
        <v>Defense</v>
      </c>
      <c r="DT61" s="1" t="str">
        <f t="shared" si="38"/>
        <v>Krypticz</v>
      </c>
      <c r="DU61" s="1" t="str">
        <v>Thorn</v>
      </c>
      <c r="DV61" s="21" cm="1">
        <f t="array" ref="DV61">ConvertToRoundTime(secandmin(BA13),secandmin(CJ31),BB13)</f>
        <v>64</v>
      </c>
      <c r="DW61" s="1" t="str">
        <v>Kiru</v>
      </c>
      <c r="DX61" s="1" t="b" cm="1">
        <f t="array" ref="DX61">DeathRefragged(DV61,MAX(ES13,ES29,ES45,ES61,ES77,FA94),MAX(EZ13,EZ29,EZ45,EZ61,EZ77,FI94),MAX(FG13,FG29,FG45,FG61,FG77,FP94),MAX(FN13,FN29,FN45,FN61,FN77,FW94),MAX(FU13,FU29,FU45,FU61,FU77,GD94),$Q$2)</f>
        <v>0</v>
      </c>
      <c r="DY61" s="1" t="b" cm="1">
        <f t="array" ref="DY61">DeathTraded(DV61,DW61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61" s="1" t="b">
        <v>0</v>
      </c>
      <c r="EA61" s="1" t="str">
        <v>NOLOC</v>
      </c>
      <c r="EB61" s="1" t="b" cm="1">
        <f t="array" ref="EB61">OpeningDeath(MAX(ES13,ES29,ES45,ES61,ES77),DV61,DV13,DV29,DV45,DV77)</f>
        <v>0</v>
      </c>
      <c r="EC61" s="1" t="b" cm="1">
        <f t="array" ref="EC61">EntryDeath(DV61,DV45,DV29,DV13,DV77)</f>
        <v>1</v>
      </c>
      <c r="ED61" s="5">
        <v>7</v>
      </c>
      <c r="EE61" s="1">
        <f t="shared" si="36"/>
        <v>1</v>
      </c>
      <c r="EF61" s="1">
        <f t="shared" si="39"/>
        <v>0</v>
      </c>
      <c r="EG61" s="1">
        <f t="shared" si="40"/>
        <v>0</v>
      </c>
      <c r="EH61" s="1" cm="1">
        <f t="array" ref="EH61">ExitFrag(EN61,MAX(DV13,DV29,DV45,DV77),MAX(ES13,ES29,ES45,ES61,ES77,FA94),MAX(EZ13,EZ29,EZ45,EZ61,EZ77,FI94),MAX(FG13,FG29,FG45,FG61,FG77,FP94),MAX(FN13,FN29,FN45,FN61,FN77,FW94),MAX(FU13,FU29,FU45,FU61,FU77,GD94))</f>
        <v>0</v>
      </c>
      <c r="EI61" s="1" t="b" cm="1">
        <f t="array" ref="EI61">OpeningKill(ES61,ES45,ES29,ES13,ES77,FB94,DV13,DV29,DV45,DV61,DV77)</f>
        <v>0</v>
      </c>
      <c r="EJ61" s="1" t="b">
        <f t="shared" si="41"/>
        <v>0</v>
      </c>
      <c r="EK61" s="5">
        <v>7</v>
      </c>
      <c r="EL61" s="1" t="b">
        <v>0</v>
      </c>
      <c r="EM61" s="1" t="b" cm="1">
        <f t="array" ref="EM61">IF(NOT(ISBLANK(CP31)),KOST(EE61,DY61,DV61,EL61),"NOT PLAYED")</f>
        <v>1</v>
      </c>
      <c r="EN61" s="1" t="b" cm="1">
        <f t="array" ref="EN61">OneVX(DV77,DV13,DV29,DV45,DV61)</f>
        <v>0</v>
      </c>
      <c r="EO61" s="1" t="b">
        <f t="shared" si="42"/>
        <v>0</v>
      </c>
      <c r="EP61" s="1" t="str" cm="1">
        <f t="array" ref="EP61:EU61">DetermineKill(ConvertToRoundTime(secandmin(BS13),secandmin(CJ31),BT13),BR13,BV13,BW13,BU13,BY13,BX13,$O$5)</f>
        <v>NOLOC</v>
      </c>
      <c r="EQ61" s="1" t="b">
        <v>0</v>
      </c>
      <c r="ER61" s="1" t="b">
        <v>0</v>
      </c>
      <c r="ES61" s="1" t="b">
        <v>0</v>
      </c>
      <c r="ET61" s="1" t="b">
        <v>0</v>
      </c>
      <c r="EU61" s="1" t="b">
        <v>0</v>
      </c>
      <c r="EV61" s="1" t="str" cm="1">
        <f t="array" ref="EV61">DeathTraded(ES61,$O$5,DV13,$O$2,DV29,$O$3,DV45,$O$4,DV61,$O$5,DV77,$O$6,$R$2)</f>
        <v>N/A</v>
      </c>
      <c r="EW61" s="1" t="str" cm="1">
        <f t="array" ref="EW61:FB61">DetermineKill(ConvertToRoundTime(secandmin(CB13),secandmin(CJ31),CC13),CA13,CE13,CF13,CD13,CH13,CG13,$O$5)</f>
        <v>NOLOC</v>
      </c>
      <c r="EX61" s="1" t="b">
        <v>0</v>
      </c>
      <c r="EY61" s="1" t="b">
        <v>0</v>
      </c>
      <c r="EZ61" s="1" t="b">
        <v>0</v>
      </c>
      <c r="FA61" s="1" t="b">
        <v>0</v>
      </c>
      <c r="FB61" s="1" t="b">
        <v>0</v>
      </c>
      <c r="FC61" s="1" t="str" cm="1">
        <f t="array" ref="FC61">DeathTraded(EZ61,$O$5,DV13,$O$2,DV29,$O$3,DV45,$O$4,DV61,$O$5,DV77,$O$6,$R$2)</f>
        <v>N/A</v>
      </c>
      <c r="FD61" s="1" t="str" cm="1">
        <f t="array" ref="FD61:FI61">DetermineKill(ConvertToRoundTime(secandmin(CK13),secandmin(CJ31),CL13),CJ13,CN13,CO13,CM13,CQ13,CP13,$O$5)</f>
        <v>NOLOC</v>
      </c>
      <c r="FE61" s="1" t="b">
        <v>0</v>
      </c>
      <c r="FF61" s="1" t="b">
        <v>0</v>
      </c>
      <c r="FG61" s="1" t="b">
        <v>0</v>
      </c>
      <c r="FH61" s="1" t="b">
        <v>0</v>
      </c>
      <c r="FI61" s="1" t="b">
        <v>0</v>
      </c>
      <c r="FJ61" s="1" t="str" cm="1">
        <f t="array" ref="FJ61">DeathTraded(FG61,$O$5,DV13,$O$2,DV29,$O$3,DV45,$O$4,DV61,$O$5,DV77,$O$6,$R$2)</f>
        <v>N/A</v>
      </c>
      <c r="FK61" s="1" t="str" cm="1">
        <f t="array" ref="FK61:FP61">DetermineKill(ConvertToRoundTime(secandmin(CT13),secandmin(CJ31),CU13),CS13,CW13,CX13,CV13,CZ13,CY13,$O$5)</f>
        <v>NOLOC</v>
      </c>
      <c r="FL61" s="1" t="b">
        <v>0</v>
      </c>
      <c r="FM61" s="1" t="b">
        <v>0</v>
      </c>
      <c r="FN61" s="1" t="b">
        <v>0</v>
      </c>
      <c r="FO61" s="1" t="b">
        <v>0</v>
      </c>
      <c r="FP61" s="1" t="b">
        <v>0</v>
      </c>
      <c r="FQ61" s="1" t="str" cm="1">
        <f t="array" ref="FQ61">DeathTraded(FN61,$O$5,DV13,$O$2,DV29,$O$3,DV45,$O$4,DV61,$O$5,DV77,$O$6,$R$2)</f>
        <v>N/A</v>
      </c>
      <c r="FR61" s="1" t="str" cm="1">
        <f t="array" ref="FR61:FW61">DetermineKill(ConvertToRoundTime(secandmin(DC13),secandmin(CJ31),DD13),DB13,DF13,DG13,DE13,DI13,DH13,$O$5)</f>
        <v>UNKNOWN</v>
      </c>
      <c r="FS61" s="1" t="b">
        <v>0</v>
      </c>
      <c r="FT61" s="1" t="str">
        <v>Kiru</v>
      </c>
      <c r="FU61" s="1">
        <v>168</v>
      </c>
      <c r="FV61" s="1" t="b">
        <v>0</v>
      </c>
      <c r="FW61" s="1" t="b">
        <v>0</v>
      </c>
      <c r="FX61" s="1" t="b" cm="1">
        <f t="array" ref="FX61">DeathTraded(FU61,$O$5,DV13,$O$2,DV29,$O$3,DV45,$O$4,DV61,$O$5,DV77,$O$6,$R$2)</f>
        <v>0</v>
      </c>
      <c r="FY61" s="5">
        <v>7</v>
      </c>
      <c r="FZ61" s="1">
        <f t="shared" si="43"/>
        <v>0</v>
      </c>
      <c r="GA61" s="21">
        <f t="shared" si="44"/>
        <v>0</v>
      </c>
      <c r="GB61" s="1" t="str">
        <f t="shared" si="37"/>
        <v>NODATA</v>
      </c>
      <c r="GC61" s="13" t="str">
        <f t="shared" si="45"/>
        <v>NODATA</v>
      </c>
      <c r="GD61" s="1" t="str">
        <f t="shared" si="46"/>
        <v>NODATA</v>
      </c>
      <c r="GE61" s="1" t="str">
        <f t="shared" si="47"/>
        <v>NODATA</v>
      </c>
      <c r="GF61" s="1" t="str" cm="1">
        <f t="array" ref="GF61">IF($V$2=TRUE,IF(CH31="Attack",ConvertToRoundTime(secandmin(BU31),secandmin(CJ31),BV31),""),"NO DATA")</f>
        <v/>
      </c>
      <c r="GG61" s="1" t="str" cm="1">
        <f t="array" ref="GG61">IF($V$2=TRUE,IF(CH31="Attack",ConvertToRoundTime(secandmin(BW31),secandmin(CJ31),BX31),""),"NO DATA")</f>
        <v/>
      </c>
    </row>
    <row r="62" spans="28:189" x14ac:dyDescent="0.25">
      <c r="DP62" s="37"/>
      <c r="DQ62" s="48" t="str">
        <f ca="1">A2</f>
        <v>8_22 Skyscraper_1</v>
      </c>
      <c r="DR62" s="4">
        <v>8</v>
      </c>
      <c r="DS62" s="1" t="str">
        <v>Defense</v>
      </c>
      <c r="DT62" s="1" t="str">
        <f t="shared" si="38"/>
        <v>Krypticz</v>
      </c>
      <c r="DU62" s="1" t="str">
        <v>Wamai</v>
      </c>
      <c r="DV62" s="21" t="b" cm="1">
        <f t="array" ref="DV62">ConvertToRoundTime(secandmin(BA14),secandmin(CJ32),BB14)</f>
        <v>0</v>
      </c>
      <c r="DW62" s="1" t="b">
        <v>0</v>
      </c>
      <c r="DX62" s="1" t="str" cm="1">
        <f t="array" ref="DX62">DeathRefragged(DV62,MAX(ES14,ES30,ES46,ES62,ES78,FA95),MAX(EZ14,EZ30,EZ46,EZ62,EZ78,FI95),MAX(FG14,FG30,FG46,FG62,FG78,FP95),MAX(FN14,FN30,FN46,FN62,FN78,FW95),MAX(FU14,FU30,FU46,FU62,FU78,GD95),$Q$2)</f>
        <v>N/A</v>
      </c>
      <c r="DY62" s="1" t="str" cm="1">
        <f t="array" ref="DY62">DeathTraded(DV62,DW62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62" s="1" t="b">
        <v>0</v>
      </c>
      <c r="EA62" s="1" t="str">
        <v>NOLOC</v>
      </c>
      <c r="EB62" s="1" t="b" cm="1">
        <f t="array" ref="EB62">OpeningDeath(MAX(ES14,ES30,ES46,ES62,ES78),DV62,DV14,DV30,DV46,DV78)</f>
        <v>0</v>
      </c>
      <c r="EC62" s="1" t="b" cm="1">
        <f t="array" ref="EC62">EntryDeath(DV62,DV46,DV30,DV14,DV78)</f>
        <v>0</v>
      </c>
      <c r="ED62" s="4">
        <v>8</v>
      </c>
      <c r="EE62" s="1">
        <f t="shared" si="36"/>
        <v>0</v>
      </c>
      <c r="EF62" s="1">
        <f t="shared" si="39"/>
        <v>0</v>
      </c>
      <c r="EG62" s="1">
        <f t="shared" si="40"/>
        <v>0</v>
      </c>
      <c r="EH62" s="1" cm="1">
        <f t="array" ref="EH62">ExitFrag(EN62,MAX(DV14,DV30,DV46,DV78),MAX(ES14,ES30,ES46,ES62,ES78,FA95),MAX(EZ14,EZ30,EZ46,EZ62,EZ78,FI95),MAX(FG14,FG30,FG46,FG62,FG78,FP95),MAX(FN14,FN30,FN46,FN62,FN78,FW95),MAX(FU14,FU30,FU46,FU62,FU78,GD95))</f>
        <v>0</v>
      </c>
      <c r="EI62" s="1" t="b" cm="1">
        <f t="array" ref="EI62">OpeningKill(ES62,ES46,ES30,ES14,ES78,FB95,DV14,DV30,DV46,DV62,DV78)</f>
        <v>0</v>
      </c>
      <c r="EJ62" s="1" t="b">
        <f t="shared" si="41"/>
        <v>0</v>
      </c>
      <c r="EK62" s="4">
        <v>8</v>
      </c>
      <c r="EL62" s="1" t="b">
        <v>0</v>
      </c>
      <c r="EM62" s="1" t="b" cm="1">
        <f t="array" ref="EM62">IF(NOT(ISBLANK(CP32)),KOST(EE62,DY62,DV62,EL62),"NOT PLAYED")</f>
        <v>1</v>
      </c>
      <c r="EN62" s="1" t="b" cm="1">
        <f t="array" ref="EN62">OneVX(DV78,DV14,DV30,DV46,DV62)</f>
        <v>0</v>
      </c>
      <c r="EO62" s="1" t="b">
        <f t="shared" si="42"/>
        <v>0</v>
      </c>
      <c r="EP62" s="1" t="str" cm="1">
        <f t="array" ref="EP62:EU62">DetermineKill(ConvertToRoundTime(secandmin(BS14),secandmin(CJ32),BT14),BR14,BV14,BW14,BU14,BY14,BX14,$O$5)</f>
        <v>NOLOC</v>
      </c>
      <c r="EQ62" s="1" t="b">
        <v>0</v>
      </c>
      <c r="ER62" s="1" t="b">
        <v>0</v>
      </c>
      <c r="ES62" s="1" t="b">
        <v>0</v>
      </c>
      <c r="ET62" s="1" t="b">
        <v>0</v>
      </c>
      <c r="EU62" s="1" t="b">
        <v>0</v>
      </c>
      <c r="EV62" s="1" t="str" cm="1">
        <f t="array" ref="EV62">DeathTraded(ES62,$O$5,DV14,$O$2,DV30,$O$3,DV46,$O$4,DV62,$O$5,DV78,$O$6,$R$2)</f>
        <v>N/A</v>
      </c>
      <c r="EW62" s="1" t="str" cm="1">
        <f t="array" ref="EW62:FB62">DetermineKill(ConvertToRoundTime(secandmin(CB14),secandmin(CJ32),CC14),CA14,CE14,CF14,CD14,CH14,CG14,$O$5)</f>
        <v>NOLOC</v>
      </c>
      <c r="EX62" s="1" t="b">
        <v>0</v>
      </c>
      <c r="EY62" s="1" t="b">
        <v>0</v>
      </c>
      <c r="EZ62" s="1" t="b">
        <v>0</v>
      </c>
      <c r="FA62" s="1" t="b">
        <v>0</v>
      </c>
      <c r="FB62" s="1" t="b">
        <v>0</v>
      </c>
      <c r="FC62" s="1" t="str" cm="1">
        <f t="array" ref="FC62">DeathTraded(EZ62,$O$5,DV14,$O$2,DV30,$O$3,DV46,$O$4,DV62,$O$5,DV78,$O$6,$R$2)</f>
        <v>N/A</v>
      </c>
      <c r="FD62" s="1" t="str" cm="1">
        <f t="array" ref="FD62:FI62">DetermineKill(ConvertToRoundTime(secandmin(CK14),secandmin(CJ32),CL14),CJ14,CN14,CO14,CM14,CQ14,CP14,$O$5)</f>
        <v>NOLOC</v>
      </c>
      <c r="FE62" s="1" t="b">
        <v>0</v>
      </c>
      <c r="FF62" s="1" t="b">
        <v>0</v>
      </c>
      <c r="FG62" s="1" t="b">
        <v>0</v>
      </c>
      <c r="FH62" s="1" t="b">
        <v>0</v>
      </c>
      <c r="FI62" s="1" t="b">
        <v>0</v>
      </c>
      <c r="FJ62" s="1" t="str" cm="1">
        <f t="array" ref="FJ62">DeathTraded(FG62,$O$5,DV14,$O$2,DV30,$O$3,DV46,$O$4,DV62,$O$5,DV78,$O$6,$R$2)</f>
        <v>N/A</v>
      </c>
      <c r="FK62" s="1" t="str" cm="1">
        <f t="array" ref="FK62:FP62">DetermineKill(ConvertToRoundTime(secandmin(CT14),secandmin(CJ32),CU14),CS14,CW14,CX14,CV14,CZ14,CY14,$O$5)</f>
        <v>NOLOC</v>
      </c>
      <c r="FL62" s="1" t="b">
        <v>0</v>
      </c>
      <c r="FM62" s="1" t="b">
        <v>0</v>
      </c>
      <c r="FN62" s="1" t="b">
        <v>0</v>
      </c>
      <c r="FO62" s="1" t="b">
        <v>0</v>
      </c>
      <c r="FP62" s="1" t="b">
        <v>0</v>
      </c>
      <c r="FQ62" s="1" t="str" cm="1">
        <f t="array" ref="FQ62">DeathTraded(FN62,$O$5,DV14,$O$2,DV30,$O$3,DV46,$O$4,DV62,$O$5,DV78,$O$6,$R$2)</f>
        <v>N/A</v>
      </c>
      <c r="FR62" s="1" t="str" cm="1">
        <f t="array" ref="FR62:FW62">DetermineKill(ConvertToRoundTime(secandmin(DC14),secandmin(CJ32),DD14),DB14,DF14,DG14,DE14,DI14,DH14,$O$5)</f>
        <v>NOLOC</v>
      </c>
      <c r="FS62" s="1" t="b">
        <v>0</v>
      </c>
      <c r="FT62" s="1" t="b">
        <v>0</v>
      </c>
      <c r="FU62" s="1" t="b">
        <v>0</v>
      </c>
      <c r="FV62" s="1" t="b">
        <v>0</v>
      </c>
      <c r="FW62" s="1" t="b">
        <v>0</v>
      </c>
      <c r="FX62" s="1" t="str" cm="1">
        <f t="array" ref="FX62">DeathTraded(FU62,$O$5,DV14,$O$2,DV30,$O$3,DV46,$O$4,DV62,$O$5,DV78,$O$6,$R$2)</f>
        <v>N/A</v>
      </c>
      <c r="FY62" s="4">
        <v>8</v>
      </c>
      <c r="FZ62" s="1">
        <f t="shared" si="43"/>
        <v>0</v>
      </c>
      <c r="GA62" s="21">
        <f t="shared" si="44"/>
        <v>0</v>
      </c>
      <c r="GB62" s="1" t="str">
        <f t="shared" si="37"/>
        <v>NODATA</v>
      </c>
      <c r="GC62" s="13" t="str">
        <f t="shared" si="45"/>
        <v>NODATA</v>
      </c>
      <c r="GD62" s="1" t="str">
        <f t="shared" si="46"/>
        <v>NODATA</v>
      </c>
      <c r="GE62" s="1" t="str">
        <f t="shared" si="47"/>
        <v>NODATA</v>
      </c>
      <c r="GF62" s="1" t="str" cm="1">
        <f t="array" ref="GF62">IF($V$2=TRUE,IF(CH32="Attack",ConvertToRoundTime(secandmin(BU32),secandmin(CJ32),BV32),""),"NO DATA")</f>
        <v/>
      </c>
      <c r="GG62" s="1" t="str" cm="1">
        <f t="array" ref="GG62">IF($V$2=TRUE,IF(CH32="Attack",ConvertToRoundTime(secandmin(BW32),secandmin(CJ32),BX32),""),"NO DATA")</f>
        <v/>
      </c>
    </row>
    <row r="63" spans="28:189" x14ac:dyDescent="0.25">
      <c r="DP63" s="37"/>
      <c r="DQ63" s="48" t="str">
        <f ca="1">A2</f>
        <v>8_22 Skyscraper_1</v>
      </c>
      <c r="DR63" s="5">
        <v>9</v>
      </c>
      <c r="DS63" s="1" t="str">
        <v>Defense</v>
      </c>
      <c r="DT63" s="1" t="str">
        <f t="shared" si="38"/>
        <v>Krypticz</v>
      </c>
      <c r="DU63" s="1" t="str">
        <v>Alibi</v>
      </c>
      <c r="DV63" s="21" cm="1">
        <f t="array" ref="DV63">ConvertToRoundTime(secandmin(BA15),secandmin(CJ33),BB15)</f>
        <v>11</v>
      </c>
      <c r="DW63" s="1" t="str">
        <v>Kiru</v>
      </c>
      <c r="DX63" s="1" t="b" cm="1">
        <f t="array" ref="DX63">DeathRefragged(DV63,MAX(ES15,ES31,ES47,ES63,ES79,FA96),MAX(EZ15,EZ31,EZ47,EZ63,EZ79,FI96),MAX(FG15,FG31,FG47,FG63,FG79,FP96),MAX(FN15,FN31,FN47,FN63,FN79,FW96),MAX(FU15,FU31,FU47,FU63,FU79,GD96),$Q$2)</f>
        <v>0</v>
      </c>
      <c r="DY63" s="1" t="b" cm="1">
        <f t="array" ref="DY63">DeathTraded(DV63,DW63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63" s="1" t="b">
        <v>0</v>
      </c>
      <c r="EA63" s="1" t="str">
        <v>NOLOC</v>
      </c>
      <c r="EB63" s="1" t="b" cm="1">
        <f t="array" ref="EB63">OpeningDeath(MAX(ES15,ES31,ES47,ES63,ES79),DV63,DV15,DV31,DV47,DV79)</f>
        <v>1</v>
      </c>
      <c r="EC63" s="1" t="b" cm="1">
        <f t="array" ref="EC63">EntryDeath(DV63,DV47,DV31,DV15,DV79)</f>
        <v>1</v>
      </c>
      <c r="ED63" s="5">
        <v>9</v>
      </c>
      <c r="EE63" s="1">
        <f t="shared" si="36"/>
        <v>0</v>
      </c>
      <c r="EF63" s="1">
        <f t="shared" si="39"/>
        <v>0</v>
      </c>
      <c r="EG63" s="1">
        <f t="shared" si="40"/>
        <v>0</v>
      </c>
      <c r="EH63" s="1" cm="1">
        <f t="array" ref="EH63">ExitFrag(EN63,MAX(DV15,DV31,DV47,DV79),MAX(ES15,ES31,ES47,ES63,ES79,FA96),MAX(EZ15,EZ31,EZ47,EZ63,EZ79,FI96),MAX(FG15,FG31,FG47,FG63,FG79,FP96),MAX(FN15,FN31,FN47,FN63,FN79,FW96),MAX(FU15,FU31,FU47,FU63,FU79,GD96))</f>
        <v>0</v>
      </c>
      <c r="EI63" s="1" t="b" cm="1">
        <f t="array" ref="EI63">OpeningKill(ES63,ES47,ES31,ES15,ES79,FB96,DV15,DV31,DV47,DV63,DV79)</f>
        <v>0</v>
      </c>
      <c r="EJ63" s="1" t="b">
        <f t="shared" si="41"/>
        <v>0</v>
      </c>
      <c r="EK63" s="5">
        <v>9</v>
      </c>
      <c r="EL63" s="1" t="b">
        <v>0</v>
      </c>
      <c r="EM63" s="1" t="b" cm="1">
        <f t="array" ref="EM63">IF(NOT(ISBLANK(CP33)),KOST(EE63,DY63,DV63,EL63),"NOT PLAYED")</f>
        <v>0</v>
      </c>
      <c r="EN63" s="1" t="b" cm="1">
        <f t="array" ref="EN63">OneVX(DV79,DV15,DV31,DV47,DV63)</f>
        <v>0</v>
      </c>
      <c r="EO63" s="1" t="b">
        <f t="shared" si="42"/>
        <v>0</v>
      </c>
      <c r="EP63" s="1" t="str" cm="1">
        <f t="array" ref="EP63:EU63">DetermineKill(ConvertToRoundTime(secandmin(BS15),secandmin(CJ33),BT15),BR15,BV15,BW15,BU15,BY15,BX15,$O$5)</f>
        <v>NOLOC</v>
      </c>
      <c r="EQ63" s="1" t="b">
        <v>0</v>
      </c>
      <c r="ER63" s="1" t="b">
        <v>0</v>
      </c>
      <c r="ES63" s="1" t="b">
        <v>0</v>
      </c>
      <c r="ET63" s="1" t="b">
        <v>0</v>
      </c>
      <c r="EU63" s="1" t="b">
        <v>0</v>
      </c>
      <c r="EV63" s="1" t="str" cm="1">
        <f t="array" ref="EV63">DeathTraded(ES63,$O$5,DV15,$O$2,DV31,$O$3,DV47,$O$4,DV63,$O$5,DV79,$O$6,$R$2)</f>
        <v>N/A</v>
      </c>
      <c r="EW63" s="1" t="str" cm="1">
        <f t="array" ref="EW63:FB63">DetermineKill(ConvertToRoundTime(secandmin(CB15),secandmin(CJ33),CC15),CA15,CE15,CF15,CD15,CH15,CG15,$O$5)</f>
        <v>NOLOC</v>
      </c>
      <c r="EX63" s="1" t="b">
        <v>0</v>
      </c>
      <c r="EY63" s="1" t="b">
        <v>0</v>
      </c>
      <c r="EZ63" s="1" t="b">
        <v>0</v>
      </c>
      <c r="FA63" s="1" t="b">
        <v>0</v>
      </c>
      <c r="FB63" s="1" t="b">
        <v>0</v>
      </c>
      <c r="FC63" s="1" t="str" cm="1">
        <f t="array" ref="FC63">DeathTraded(EZ63,$O$5,DV15,$O$2,DV31,$O$3,DV47,$O$4,DV63,$O$5,DV79,$O$6,$R$2)</f>
        <v>N/A</v>
      </c>
      <c r="FD63" s="1" t="str" cm="1">
        <f t="array" ref="FD63:FI63">DetermineKill(ConvertToRoundTime(secandmin(CK15),secandmin(CJ33),CL15),CJ15,CN15,CO15,CM15,CQ15,CP15,$O$5)</f>
        <v>NOLOC</v>
      </c>
      <c r="FE63" s="1" t="b">
        <v>0</v>
      </c>
      <c r="FF63" s="1" t="b">
        <v>0</v>
      </c>
      <c r="FG63" s="1" t="b">
        <v>0</v>
      </c>
      <c r="FH63" s="1" t="b">
        <v>0</v>
      </c>
      <c r="FI63" s="1" t="b">
        <v>0</v>
      </c>
      <c r="FJ63" s="1" t="str" cm="1">
        <f t="array" ref="FJ63">DeathTraded(FG63,$O$5,DV15,$O$2,DV31,$O$3,DV47,$O$4,DV63,$O$5,DV79,$O$6,$R$2)</f>
        <v>N/A</v>
      </c>
      <c r="FK63" s="1" t="str" cm="1">
        <f t="array" ref="FK63:FP63">DetermineKill(ConvertToRoundTime(secandmin(CT15),secandmin(CJ33),CU15),CS15,CW15,CX15,CV15,CZ15,CY15,$O$5)</f>
        <v>NOLOC</v>
      </c>
      <c r="FL63" s="1" t="b">
        <v>0</v>
      </c>
      <c r="FM63" s="1" t="b">
        <v>0</v>
      </c>
      <c r="FN63" s="1" t="b">
        <v>0</v>
      </c>
      <c r="FO63" s="1" t="b">
        <v>0</v>
      </c>
      <c r="FP63" s="1" t="b">
        <v>0</v>
      </c>
      <c r="FQ63" s="1" t="str" cm="1">
        <f t="array" ref="FQ63">DeathTraded(FN63,$O$5,DV15,$O$2,DV31,$O$3,DV47,$O$4,DV63,$O$5,DV79,$O$6,$R$2)</f>
        <v>N/A</v>
      </c>
      <c r="FR63" s="1" t="str" cm="1">
        <f t="array" ref="FR63:FW63">DetermineKill(ConvertToRoundTime(secandmin(DC15),secandmin(CJ33),DD15),DB15,DF15,DG15,DE15,DI15,DH15,$O$5)</f>
        <v>NOLOC</v>
      </c>
      <c r="FS63" s="1" t="b">
        <v>0</v>
      </c>
      <c r="FT63" s="1" t="b">
        <v>0</v>
      </c>
      <c r="FU63" s="1" t="b">
        <v>0</v>
      </c>
      <c r="FV63" s="1" t="b">
        <v>0</v>
      </c>
      <c r="FW63" s="1" t="b">
        <v>0</v>
      </c>
      <c r="FX63" s="1" t="str" cm="1">
        <f t="array" ref="FX63">DeathTraded(FU63,$O$5,DV15,$O$2,DV31,$O$3,DV47,$O$4,DV63,$O$5,DV79,$O$6,$R$2)</f>
        <v>N/A</v>
      </c>
      <c r="FY63" s="5">
        <v>9</v>
      </c>
      <c r="FZ63" s="1">
        <f t="shared" si="43"/>
        <v>0</v>
      </c>
      <c r="GA63" s="21">
        <f t="shared" si="44"/>
        <v>0</v>
      </c>
      <c r="GB63" s="1" t="str">
        <f t="shared" si="37"/>
        <v>NODATA</v>
      </c>
      <c r="GC63" s="13" t="str">
        <f t="shared" si="45"/>
        <v>NODATA</v>
      </c>
      <c r="GD63" s="1" t="str">
        <f t="shared" si="46"/>
        <v>NODATA</v>
      </c>
      <c r="GE63" s="1" t="str">
        <f t="shared" si="47"/>
        <v>NODATA</v>
      </c>
      <c r="GF63" s="1" t="str" cm="1">
        <f t="array" ref="GF63">IF($V$2=TRUE,IF(CH33="Attack",ConvertToRoundTime(secandmin(BU33),secandmin(CJ33),BV33),""),"NO DATA")</f>
        <v/>
      </c>
      <c r="GG63" s="1" t="str" cm="1">
        <f t="array" ref="GG63">IF($V$2=TRUE,IF(CH33="Attack",ConvertToRoundTime(secandmin(BW33),secandmin(CJ33),BX33),""),"NO DATA")</f>
        <v/>
      </c>
    </row>
    <row r="64" spans="28:189" x14ac:dyDescent="0.25">
      <c r="DP64" s="37"/>
      <c r="DQ64" s="48" t="str">
        <f ca="1">A2</f>
        <v>8_22 Skyscraper_1</v>
      </c>
      <c r="DR64" s="4">
        <v>10</v>
      </c>
      <c r="DS64" s="1" t="str">
        <v>Defense</v>
      </c>
      <c r="DT64" s="1" t="str">
        <f t="shared" si="38"/>
        <v>Krypticz</v>
      </c>
      <c r="DU64" s="1" t="str">
        <v>Melusi</v>
      </c>
      <c r="DV64" s="21" t="b" cm="1">
        <f t="array" ref="DV64">ConvertToRoundTime(secandmin(BA16),secandmin(CJ34),BB16)</f>
        <v>0</v>
      </c>
      <c r="DW64" s="1" t="b">
        <v>0</v>
      </c>
      <c r="DX64" s="1" t="str" cm="1">
        <f t="array" ref="DX64">DeathRefragged(DV64,MAX(ES16,ES32,ES48,ES64,ES80,FA97),MAX(EZ16,EZ32,EZ48,EZ64,EZ80,FI97),MAX(FG16,FG32,FG48,FG64,FG80,FP97),MAX(FN16,FN32,FN48,FN64,FN80,FW97),MAX(FU16,FU32,FU48,FU64,FU80,GD97),$Q$2)</f>
        <v>N/A</v>
      </c>
      <c r="DY64" s="1" t="str" cm="1">
        <f t="array" ref="DY64">DeathTraded(DV64,DW64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N/A</v>
      </c>
      <c r="DZ64" s="1" t="b">
        <v>0</v>
      </c>
      <c r="EA64" s="1" t="str">
        <v>NOLOC</v>
      </c>
      <c r="EB64" s="1" t="b" cm="1">
        <f t="array" ref="EB64">OpeningDeath(MAX(ES16,ES32,ES48,ES64,ES80),DV64,DV16,DV32,DV48,DV80)</f>
        <v>0</v>
      </c>
      <c r="EC64" s="1" t="b" cm="1">
        <f t="array" ref="EC64">EntryDeath(DV64,DV48,DV32,DV16,DV80)</f>
        <v>0</v>
      </c>
      <c r="ED64" s="4">
        <v>10</v>
      </c>
      <c r="EE64" s="1">
        <f t="shared" si="36"/>
        <v>0</v>
      </c>
      <c r="EF64" s="1">
        <f t="shared" si="39"/>
        <v>0</v>
      </c>
      <c r="EG64" s="1">
        <f t="shared" si="40"/>
        <v>0</v>
      </c>
      <c r="EH64" s="1" cm="1">
        <f t="array" ref="EH64">ExitFrag(EN64,MAX(DV16,DV32,DV48,DV80),MAX(ES16,ES32,ES48,ES64,ES80,FA97),MAX(EZ16,EZ32,EZ48,EZ64,EZ80,FI97),MAX(FG16,FG32,FG48,FG64,FG80,FP97),MAX(FN16,FN32,FN48,FN64,FN80,FW97),MAX(FU16,FU32,FU48,FU64,FU80,GD97))</f>
        <v>0</v>
      </c>
      <c r="EI64" s="1" t="b" cm="1">
        <f t="array" ref="EI64">OpeningKill(ES64,ES48,ES32,ES16,ES80,FB97,DV16,DV32,DV48,DV64,DV80)</f>
        <v>0</v>
      </c>
      <c r="EJ64" s="1" t="b">
        <f t="shared" si="41"/>
        <v>0</v>
      </c>
      <c r="EK64" s="4">
        <v>10</v>
      </c>
      <c r="EL64" s="1" t="b">
        <v>0</v>
      </c>
      <c r="EM64" s="1" t="b" cm="1">
        <f t="array" ref="EM64">IF(NOT(ISBLANK(CP34)),KOST(EE64,DY64,DV64,EL64),"NOT PLAYED")</f>
        <v>1</v>
      </c>
      <c r="EN64" s="1" t="b" cm="1">
        <f t="array" ref="EN64">OneVX(DV80,DV16,DV32,DV48,DV64)</f>
        <v>0</v>
      </c>
      <c r="EO64" s="1" t="b">
        <f t="shared" si="42"/>
        <v>0</v>
      </c>
      <c r="EP64" s="1" t="str" cm="1">
        <f t="array" ref="EP64:EU64">DetermineKill(ConvertToRoundTime(secandmin(BS16),secandmin(CJ34),BT16),BR16,BV16,BW16,BU16,BY16,BX16,$O$5)</f>
        <v>NOLOC</v>
      </c>
      <c r="EQ64" s="1" t="b">
        <v>0</v>
      </c>
      <c r="ER64" s="1" t="b">
        <v>0</v>
      </c>
      <c r="ES64" s="1" t="b">
        <v>0</v>
      </c>
      <c r="ET64" s="1" t="b">
        <v>0</v>
      </c>
      <c r="EU64" s="1" t="b">
        <v>0</v>
      </c>
      <c r="EV64" s="1" t="str" cm="1">
        <f t="array" ref="EV64">DeathTraded(ES64,$O$5,DV16,$O$2,DV32,$O$3,DV48,$O$4,DV64,$O$5,DV80,$O$6,$R$2)</f>
        <v>N/A</v>
      </c>
      <c r="EW64" s="1" t="str" cm="1">
        <f t="array" ref="EW64:FB64">DetermineKill(ConvertToRoundTime(secandmin(CB16),secandmin(CJ34),CC16),CA16,CE16,CF16,CD16,CH16,CG16,$O$5)</f>
        <v>NOLOC</v>
      </c>
      <c r="EX64" s="1" t="b">
        <v>0</v>
      </c>
      <c r="EY64" s="1" t="b">
        <v>0</v>
      </c>
      <c r="EZ64" s="1" t="b">
        <v>0</v>
      </c>
      <c r="FA64" s="1" t="b">
        <v>0</v>
      </c>
      <c r="FB64" s="1" t="b">
        <v>0</v>
      </c>
      <c r="FC64" s="1" t="str" cm="1">
        <f t="array" ref="FC64">DeathTraded(EZ64,$O$5,DV16,$O$2,DV32,$O$3,DV48,$O$4,DV64,$O$5,DV80,$O$6,$R$2)</f>
        <v>N/A</v>
      </c>
      <c r="FD64" s="1" t="str" cm="1">
        <f t="array" ref="FD64:FI64">DetermineKill(ConvertToRoundTime(secandmin(CK16),secandmin(CJ34),CL16),CJ16,CN16,CO16,CM16,CQ16,CP16,$O$5)</f>
        <v>NOLOC</v>
      </c>
      <c r="FE64" s="1" t="b">
        <v>0</v>
      </c>
      <c r="FF64" s="1" t="b">
        <v>0</v>
      </c>
      <c r="FG64" s="1" t="b">
        <v>0</v>
      </c>
      <c r="FH64" s="1" t="b">
        <v>0</v>
      </c>
      <c r="FI64" s="1" t="b">
        <v>0</v>
      </c>
      <c r="FJ64" s="1" t="str" cm="1">
        <f t="array" ref="FJ64">DeathTraded(FG64,$O$5,DV16,$O$2,DV32,$O$3,DV48,$O$4,DV64,$O$5,DV80,$O$6,$R$2)</f>
        <v>N/A</v>
      </c>
      <c r="FK64" s="1" t="str" cm="1">
        <f t="array" ref="FK64:FP64">DetermineKill(ConvertToRoundTime(secandmin(CT16),secandmin(CJ34),CU16),CS16,CW16,CX16,CV16,CZ16,CY16,$O$5)</f>
        <v>NOLOC</v>
      </c>
      <c r="FL64" s="1" t="b">
        <v>0</v>
      </c>
      <c r="FM64" s="1" t="b">
        <v>0</v>
      </c>
      <c r="FN64" s="1" t="b">
        <v>0</v>
      </c>
      <c r="FO64" s="1" t="b">
        <v>0</v>
      </c>
      <c r="FP64" s="1" t="b">
        <v>0</v>
      </c>
      <c r="FQ64" s="1" t="str" cm="1">
        <f t="array" ref="FQ64">DeathTraded(FN64,$O$5,DV16,$O$2,DV32,$O$3,DV48,$O$4,DV64,$O$5,DV80,$O$6,$R$2)</f>
        <v>N/A</v>
      </c>
      <c r="FR64" s="1" t="str" cm="1">
        <f t="array" ref="FR64:FW64">DetermineKill(ConvertToRoundTime(secandmin(DC16),secandmin(CJ34),DD16),DB16,DF16,DG16,DE16,DI16,DH16,$O$5)</f>
        <v>NOLOC</v>
      </c>
      <c r="FS64" s="1" t="b">
        <v>0</v>
      </c>
      <c r="FT64" s="1" t="b">
        <v>0</v>
      </c>
      <c r="FU64" s="1" t="b">
        <v>0</v>
      </c>
      <c r="FV64" s="1" t="b">
        <v>0</v>
      </c>
      <c r="FW64" s="1" t="b">
        <v>0</v>
      </c>
      <c r="FX64" s="1" t="str" cm="1">
        <f t="array" ref="FX64">DeathTraded(FU64,$O$5,DV16,$O$2,DV32,$O$3,DV48,$O$4,DV64,$O$5,DV80,$O$6,$R$2)</f>
        <v>N/A</v>
      </c>
      <c r="FY64" s="4">
        <v>10</v>
      </c>
      <c r="FZ64" s="1">
        <f t="shared" si="43"/>
        <v>0</v>
      </c>
      <c r="GA64" s="21">
        <f t="shared" si="44"/>
        <v>0</v>
      </c>
      <c r="GB64" s="1" t="str">
        <f t="shared" si="37"/>
        <v>NODATA</v>
      </c>
      <c r="GC64" s="13" t="str">
        <f t="shared" si="45"/>
        <v>NODATA</v>
      </c>
      <c r="GD64" s="1" t="str">
        <f t="shared" si="46"/>
        <v>NODATA</v>
      </c>
      <c r="GE64" s="1" t="str">
        <f t="shared" si="47"/>
        <v>NODATA</v>
      </c>
      <c r="GF64" s="1" t="str" cm="1">
        <f t="array" ref="GF64">IF($V$2=TRUE,IF(CH34="Attack",ConvertToRoundTime(secandmin(BU34),secandmin(CJ34),BV34),""),"NO DATA")</f>
        <v/>
      </c>
      <c r="GG64" s="1" t="str" cm="1">
        <f t="array" ref="GG64">IF($V$2=TRUE,IF(CH34="Attack",ConvertToRoundTime(secandmin(BW34),secandmin(CJ34),BX34),""),"NO DATA")</f>
        <v/>
      </c>
    </row>
    <row r="65" spans="120:189" x14ac:dyDescent="0.25">
      <c r="DP65" s="37"/>
      <c r="DQ65" s="48" t="str">
        <f ca="1">A2</f>
        <v>8_22 Skyscraper_1</v>
      </c>
      <c r="DR65" s="5">
        <v>11</v>
      </c>
      <c r="DS65" s="1" t="str">
        <v>Defense</v>
      </c>
      <c r="DT65" s="1" t="str">
        <f t="shared" si="38"/>
        <v>Krypticz</v>
      </c>
      <c r="DU65" s="1" t="str">
        <v>Wamai</v>
      </c>
      <c r="DV65" s="21" cm="1">
        <f t="array" ref="DV65">ConvertToRoundTime(secandmin(BA17),secandmin(CJ35),BB17)</f>
        <v>75</v>
      </c>
      <c r="DW65" s="1" t="str">
        <v>Snipey</v>
      </c>
      <c r="DX65" s="1" t="b" cm="1">
        <f t="array" ref="DX65">DeathRefragged(DV65,MAX(ES17,ES33,ES49,ES65,ES81,FA98),MAX(EZ17,EZ33,EZ49,EZ65,EZ81,FI98),MAX(FG17,FG33,FG49,FG65,FG81,FP98),MAX(FN17,FN33,FN49,FN65,FN81,FW98),MAX(FU17,FU33,FU49,FU65,FU81,GD98),$Q$2)</f>
        <v>0</v>
      </c>
      <c r="DY65" s="1" t="b" cm="1">
        <f t="array" ref="DY65">DeathTraded(DV65,DW65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0</v>
      </c>
      <c r="DZ65" s="1" t="b">
        <v>0</v>
      </c>
      <c r="EA65" s="1" t="str">
        <v>NOLOC</v>
      </c>
      <c r="EB65" s="1" t="b" cm="1">
        <f t="array" ref="EB65">OpeningDeath(MAX(ES17,ES33,ES49,ES65,ES81),DV65,DV17,DV33,DV49,DV81)</f>
        <v>0</v>
      </c>
      <c r="EC65" s="1" t="b" cm="1">
        <f t="array" ref="EC65">EntryDeath(DV65,DV49,DV33,DV17,DV81)</f>
        <v>0</v>
      </c>
      <c r="ED65" s="5">
        <v>11</v>
      </c>
      <c r="EE65" s="1">
        <f t="shared" si="36"/>
        <v>0</v>
      </c>
      <c r="EF65" s="1">
        <f t="shared" si="39"/>
        <v>0</v>
      </c>
      <c r="EG65" s="1">
        <f t="shared" si="40"/>
        <v>0</v>
      </c>
      <c r="EH65" s="1" cm="1">
        <f t="array" ref="EH65">ExitFrag(EN65,MAX(DV17,DV33,DV49,DV81),MAX(ES17,ES33,ES49,ES65,ES81,FA98),MAX(EZ17,EZ33,EZ49,EZ65,EZ81,FI98),MAX(FG17,FG33,FG49,FG65,FG81,FP98),MAX(FN17,FN33,FN49,FN65,FN81,FW98),MAX(FU17,FU33,FU49,FU65,FU81,GD98))</f>
        <v>0</v>
      </c>
      <c r="EI65" s="1" t="b" cm="1">
        <f t="array" ref="EI65">OpeningKill(ES65,ES49,ES33,ES17,ES81,FB98,DV17,DV33,DV49,DV65,DV81)</f>
        <v>0</v>
      </c>
      <c r="EJ65" s="1" t="b">
        <f t="shared" si="41"/>
        <v>0</v>
      </c>
      <c r="EK65" s="5">
        <v>11</v>
      </c>
      <c r="EL65" s="1" t="b">
        <v>0</v>
      </c>
      <c r="EM65" s="1" t="b" cm="1">
        <f t="array" ref="EM65">IF(NOT(ISBLANK(CP35)),KOST(EE65,DY65,DV65,EL65),"NOT PLAYED")</f>
        <v>0</v>
      </c>
      <c r="EN65" s="1" t="b" cm="1">
        <f t="array" ref="EN65">OneVX(DV81,DV17,DV33,DV49,DV65)</f>
        <v>0</v>
      </c>
      <c r="EO65" s="1" t="b">
        <f t="shared" si="42"/>
        <v>0</v>
      </c>
      <c r="EP65" s="1" t="str" cm="1">
        <f t="array" ref="EP65:EU65">DetermineKill(ConvertToRoundTime(secandmin(BS17),secandmin(CJ35),BT17),BR17,BV17,BW17,BU17,BY17,BX17,$O$5)</f>
        <v>NOLOC</v>
      </c>
      <c r="EQ65" s="1" t="b">
        <v>0</v>
      </c>
      <c r="ER65" s="1" t="b">
        <v>0</v>
      </c>
      <c r="ES65" s="1" t="b">
        <v>0</v>
      </c>
      <c r="ET65" s="1" t="b">
        <v>0</v>
      </c>
      <c r="EU65" s="1" t="b">
        <v>0</v>
      </c>
      <c r="EV65" s="1" t="str" cm="1">
        <f t="array" ref="EV65">DeathTraded(ES65,$O$5,DV17,$O$2,DV33,$O$3,DV49,$O$4,DV65,$O$5,DV81,$O$6,$R$2)</f>
        <v>N/A</v>
      </c>
      <c r="EW65" s="1" t="str" cm="1">
        <f t="array" ref="EW65:FB65">DetermineKill(ConvertToRoundTime(secandmin(CB17),secandmin(CJ35),CC17),CA17,CE17,CF17,CD17,CH17,CG17,$O$5)</f>
        <v>NOLOC</v>
      </c>
      <c r="EX65" s="1" t="b">
        <v>0</v>
      </c>
      <c r="EY65" s="1" t="b">
        <v>0</v>
      </c>
      <c r="EZ65" s="1" t="b">
        <v>0</v>
      </c>
      <c r="FA65" s="1" t="b">
        <v>0</v>
      </c>
      <c r="FB65" s="1" t="b">
        <v>0</v>
      </c>
      <c r="FC65" s="1" t="str" cm="1">
        <f t="array" ref="FC65">DeathTraded(EZ65,$O$5,DV17,$O$2,DV33,$O$3,DV49,$O$4,DV65,$O$5,DV81,$O$6,$R$2)</f>
        <v>N/A</v>
      </c>
      <c r="FD65" s="1" t="str" cm="1">
        <f t="array" ref="FD65:FI65">DetermineKill(ConvertToRoundTime(secandmin(CK17),secandmin(CJ35),CL17),CJ17,CN17,CO17,CM17,CQ17,CP17,$O$5)</f>
        <v>NOLOC</v>
      </c>
      <c r="FE65" s="1" t="b">
        <v>0</v>
      </c>
      <c r="FF65" s="1" t="b">
        <v>0</v>
      </c>
      <c r="FG65" s="1" t="b">
        <v>0</v>
      </c>
      <c r="FH65" s="1" t="b">
        <v>0</v>
      </c>
      <c r="FI65" s="1" t="b">
        <v>0</v>
      </c>
      <c r="FJ65" s="1" t="str" cm="1">
        <f t="array" ref="FJ65">DeathTraded(FG65,$O$5,DV17,$O$2,DV33,$O$3,DV49,$O$4,DV65,$O$5,DV81,$O$6,$R$2)</f>
        <v>N/A</v>
      </c>
      <c r="FK65" s="1" t="str" cm="1">
        <f t="array" ref="FK65:FP65">DetermineKill(ConvertToRoundTime(secandmin(CT17),secandmin(CJ35),CU17),CS17,CW17,CX17,CV17,CZ17,CY17,$O$5)</f>
        <v>NOLOC</v>
      </c>
      <c r="FL65" s="1" t="b">
        <v>0</v>
      </c>
      <c r="FM65" s="1" t="b">
        <v>0</v>
      </c>
      <c r="FN65" s="1" t="b">
        <v>0</v>
      </c>
      <c r="FO65" s="1" t="b">
        <v>0</v>
      </c>
      <c r="FP65" s="1" t="b">
        <v>0</v>
      </c>
      <c r="FQ65" s="1" t="str" cm="1">
        <f t="array" ref="FQ65">DeathTraded(FN65,$O$5,DV17,$O$2,DV33,$O$3,DV49,$O$4,DV65,$O$5,DV81,$O$6,$R$2)</f>
        <v>N/A</v>
      </c>
      <c r="FR65" s="1" t="str" cm="1">
        <f t="array" ref="FR65:FW65">DetermineKill(ConvertToRoundTime(secandmin(DC17),secandmin(CJ35),DD17),DB17,DF17,DG17,DE17,DI17,DH17,$O$5)</f>
        <v>NOLOC</v>
      </c>
      <c r="FS65" s="1" t="b">
        <v>0</v>
      </c>
      <c r="FT65" s="1" t="b">
        <v>0</v>
      </c>
      <c r="FU65" s="1" t="b">
        <v>0</v>
      </c>
      <c r="FV65" s="1" t="b">
        <v>0</v>
      </c>
      <c r="FW65" s="1" t="b">
        <v>0</v>
      </c>
      <c r="FX65" s="1" t="str" cm="1">
        <f t="array" ref="FX65">DeathTraded(FU65,$O$5,DV17,$O$2,DV33,$O$3,DV49,$O$4,DV65,$O$5,DV81,$O$6,$R$2)</f>
        <v>N/A</v>
      </c>
      <c r="FY65" s="5">
        <v>11</v>
      </c>
      <c r="FZ65" s="1">
        <f t="shared" si="43"/>
        <v>0</v>
      </c>
      <c r="GA65" s="21">
        <f t="shared" si="44"/>
        <v>0</v>
      </c>
      <c r="GB65" s="1" t="str">
        <f t="shared" si="37"/>
        <v>NODATA</v>
      </c>
      <c r="GC65" s="13" t="str">
        <f t="shared" si="45"/>
        <v>NODATA</v>
      </c>
      <c r="GD65" s="1" t="str">
        <f t="shared" si="46"/>
        <v>NODATA</v>
      </c>
      <c r="GE65" s="1" t="str">
        <f t="shared" si="47"/>
        <v>NODATA</v>
      </c>
      <c r="GF65" s="1" t="str" cm="1">
        <f t="array" ref="GF65">IF($V$2=TRUE,IF(CH35="Attack",ConvertToRoundTime(secandmin(BU35),secandmin(CJ35),BV35),""),"NO DATA")</f>
        <v/>
      </c>
      <c r="GG65" s="1" t="str" cm="1">
        <f t="array" ref="GG65">IF($V$2=TRUE,IF(CH35="Attack",ConvertToRoundTime(secandmin(BW35),secandmin(CJ35),BX35),""),"NO DATA")</f>
        <v/>
      </c>
    </row>
    <row r="66" spans="120:189" x14ac:dyDescent="0.25">
      <c r="DP66" s="37"/>
      <c r="DQ66" s="48" t="str">
        <f ca="1">A2</f>
        <v>8_22 Skyscraper_1</v>
      </c>
      <c r="DR66" s="4">
        <v>12</v>
      </c>
      <c r="DS66" s="1" t="str">
        <v>Not Played</v>
      </c>
      <c r="DT66" s="1" t="str">
        <f t="shared" si="38"/>
        <v>Krypticz</v>
      </c>
      <c r="DU66" s="1" t="str">
        <v>Not Played</v>
      </c>
      <c r="DV66" s="21" t="b" cm="1">
        <f t="array" ref="DV66">ConvertToRoundTime(secandmin(BA18),secandmin(CJ36),BB18)</f>
        <v>0</v>
      </c>
      <c r="DW66" s="1" t="b">
        <v>0</v>
      </c>
      <c r="DX66" s="1" t="str" cm="1">
        <f t="array" ref="DX66">DeathRefragged(DV66,MAX(ES18,ES34,ES50,ES66,ES82,FA99),MAX(EZ18,EZ34,EZ50,EZ66,EZ82,FI99),MAX(FG18,FG34,FG50,FG66,FG82,FP99),MAX(FN18,FN34,FN50,FN66,FN82,FW99),MAX(FU18,FU34,FU50,FU66,FU82,GD99),$Q$2)</f>
        <v>N/A</v>
      </c>
      <c r="DY66" s="1" t="str" cm="1">
        <f t="array" ref="DY66">DeathTraded(DV66,DW66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66" s="1" t="b">
        <v>0</v>
      </c>
      <c r="EA66" s="1" t="str">
        <v>NOLOC</v>
      </c>
      <c r="EB66" s="1" t="b" cm="1">
        <f t="array" ref="EB66">OpeningDeath(MAX(ES18,ES34,ES50,ES66,ES82),DV66,DV18,DV34,DV50,DV82)</f>
        <v>0</v>
      </c>
      <c r="EC66" s="1" t="b" cm="1">
        <f t="array" ref="EC66">EntryDeath(DV66,DV50,DV34,DV18,DV82)</f>
        <v>0</v>
      </c>
      <c r="ED66" s="4">
        <v>12</v>
      </c>
      <c r="EE66" s="1">
        <f t="shared" si="36"/>
        <v>0</v>
      </c>
      <c r="EF66" s="1">
        <f t="shared" si="39"/>
        <v>0</v>
      </c>
      <c r="EG66" s="1">
        <f t="shared" si="40"/>
        <v>0</v>
      </c>
      <c r="EH66" s="1" cm="1">
        <f t="array" ref="EH66">ExitFrag(EN66,MAX(DV18,DV34,DV50,DV82),MAX(ES18,ES34,ES50,ES66,ES82,FA99),MAX(EZ18,EZ34,EZ50,EZ66,EZ82,FI99),MAX(FG18,FG34,FG50,FG66,FG82,FP99),MAX(FN18,FN34,FN50,FN66,FN82,FW99),MAX(FU18,FU34,FU50,FU66,FU82,GD99))</f>
        <v>0</v>
      </c>
      <c r="EI66" s="1" t="b" cm="1">
        <f t="array" ref="EI66">OpeningKill(ES66,ES50,ES34,ES18,ES82,FB99,DV18,DV34,DV50,DV66,DV82)</f>
        <v>0</v>
      </c>
      <c r="EJ66" s="1" t="b">
        <f t="shared" si="41"/>
        <v>0</v>
      </c>
      <c r="EK66" s="4">
        <v>12</v>
      </c>
      <c r="EL66" s="1" t="b">
        <v>0</v>
      </c>
      <c r="EM66" s="1" t="str" cm="1">
        <f t="array" ref="EM66">IF(NOT(ISBLANK(CP36)),KOST(EE66,DY66,DV66,EL66),"NOT PLAYED")</f>
        <v>NOT PLAYED</v>
      </c>
      <c r="EN66" s="1" t="b" cm="1">
        <f t="array" ref="EN66">OneVX(DV82,DV18,DV34,DV50,DV66)</f>
        <v>0</v>
      </c>
      <c r="EO66" s="1" t="b">
        <f t="shared" si="42"/>
        <v>0</v>
      </c>
      <c r="EP66" s="1" t="str" cm="1">
        <f t="array" ref="EP66:EU66">DetermineKill(ConvertToRoundTime(secandmin(BS18),secandmin(CJ36),BT18),BR18,BV18,BW18,BU18,BY18,BX18,$O$5)</f>
        <v>NOLOC</v>
      </c>
      <c r="EQ66" s="1" t="b">
        <v>0</v>
      </c>
      <c r="ER66" s="1" t="b">
        <v>0</v>
      </c>
      <c r="ES66" s="1" t="b">
        <v>0</v>
      </c>
      <c r="ET66" s="1" t="b">
        <v>0</v>
      </c>
      <c r="EU66" s="1" t="b">
        <v>0</v>
      </c>
      <c r="EV66" s="1" t="str" cm="1">
        <f t="array" ref="EV66">DeathTraded(ES66,$O$5,DV18,$O$2,DV34,$O$3,DV50,$O$4,DV66,$O$5,DV82,$O$6,$R$2)</f>
        <v>N/A</v>
      </c>
      <c r="EW66" s="1" t="str" cm="1">
        <f t="array" ref="EW66:FB66">DetermineKill(ConvertToRoundTime(secandmin(CB18),secandmin(CJ36),CC18),CA18,CE18,CF18,CD18,CH18,CG18,$O$5)</f>
        <v>NOLOC</v>
      </c>
      <c r="EX66" s="1" t="b">
        <v>0</v>
      </c>
      <c r="EY66" s="1" t="b">
        <v>0</v>
      </c>
      <c r="EZ66" s="1" t="b">
        <v>0</v>
      </c>
      <c r="FA66" s="1" t="b">
        <v>0</v>
      </c>
      <c r="FB66" s="1" t="b">
        <v>0</v>
      </c>
      <c r="FC66" s="1" t="str" cm="1">
        <f t="array" ref="FC66">DeathTraded(EZ66,$O$5,DV18,$O$2,DV34,$O$3,DV50,$O$4,DV66,$O$5,DV82,$O$6,$R$2)</f>
        <v>N/A</v>
      </c>
      <c r="FD66" s="1" t="str" cm="1">
        <f t="array" ref="FD66:FI66">DetermineKill(ConvertToRoundTime(secandmin(CK18),secandmin(CJ36),CL18),CJ18,CN18,CO18,CM18,CQ18,CP18,$O$5)</f>
        <v>NOLOC</v>
      </c>
      <c r="FE66" s="1" t="b">
        <v>0</v>
      </c>
      <c r="FF66" s="1" t="b">
        <v>0</v>
      </c>
      <c r="FG66" s="1" t="b">
        <v>0</v>
      </c>
      <c r="FH66" s="1" t="b">
        <v>0</v>
      </c>
      <c r="FI66" s="1" t="b">
        <v>0</v>
      </c>
      <c r="FJ66" s="1" t="str" cm="1">
        <f t="array" ref="FJ66">DeathTraded(FG66,$O$5,DV18,$O$2,DV34,$O$3,DV50,$O$4,DV66,$O$5,DV82,$O$6,$R$2)</f>
        <v>N/A</v>
      </c>
      <c r="FK66" s="1" t="str" cm="1">
        <f t="array" ref="FK66:FP66">DetermineKill(ConvertToRoundTime(secandmin(CT18),secandmin(CJ36),CU18),CS18,CW18,CX18,CV18,CZ18,CY18,$O$5)</f>
        <v>NOLOC</v>
      </c>
      <c r="FL66" s="1" t="b">
        <v>0</v>
      </c>
      <c r="FM66" s="1" t="b">
        <v>0</v>
      </c>
      <c r="FN66" s="1" t="b">
        <v>0</v>
      </c>
      <c r="FO66" s="1" t="b">
        <v>0</v>
      </c>
      <c r="FP66" s="1" t="b">
        <v>0</v>
      </c>
      <c r="FQ66" s="1" t="str" cm="1">
        <f t="array" ref="FQ66">DeathTraded(FN66,$O$5,DV18,$O$2,DV34,$O$3,DV50,$O$4,DV66,$O$5,DV82,$O$6,$R$2)</f>
        <v>N/A</v>
      </c>
      <c r="FR66" s="1" t="str" cm="1">
        <f t="array" ref="FR66:FW66">DetermineKill(ConvertToRoundTime(secandmin(DC18),secandmin(CJ36),DD18),DB18,DF18,DG18,DE18,DI18,DH18,$O$5)</f>
        <v>NOLOC</v>
      </c>
      <c r="FS66" s="1" t="b">
        <v>0</v>
      </c>
      <c r="FT66" s="1" t="b">
        <v>0</v>
      </c>
      <c r="FU66" s="1" t="b">
        <v>0</v>
      </c>
      <c r="FV66" s="1" t="b">
        <v>0</v>
      </c>
      <c r="FW66" s="1" t="b">
        <v>0</v>
      </c>
      <c r="FX66" s="1" t="str" cm="1">
        <f t="array" ref="FX66">DeathTraded(FU66,$O$5,DV18,$O$2,DV34,$O$3,DV50,$O$4,DV66,$O$5,DV82,$O$6,$R$2)</f>
        <v>N/A</v>
      </c>
      <c r="FY66" s="4">
        <v>12</v>
      </c>
      <c r="FZ66" s="1">
        <f t="shared" si="43"/>
        <v>0</v>
      </c>
      <c r="GA66" s="21">
        <f t="shared" si="44"/>
        <v>0</v>
      </c>
      <c r="GB66" s="1" t="str">
        <f t="shared" si="37"/>
        <v>NODATA</v>
      </c>
      <c r="GC66" s="13" t="str">
        <f t="shared" si="45"/>
        <v>NODATA</v>
      </c>
      <c r="GD66" s="1" t="str">
        <f t="shared" si="46"/>
        <v>NODATA</v>
      </c>
      <c r="GE66" s="1" t="str">
        <f t="shared" si="47"/>
        <v>NODATA</v>
      </c>
      <c r="GF66" s="1" t="str" cm="1">
        <f t="array" ref="GF66">IF($V$2=TRUE,IF(CH36="Attack",ConvertToRoundTime(secandmin(BU36),secandmin(CJ36),BV36),""),"NO DATA")</f>
        <v/>
      </c>
      <c r="GG66" s="1" t="str" cm="1">
        <f t="array" ref="GG66">IF($V$2=TRUE,IF(CH36="Attack",ConvertToRoundTime(secandmin(BW36),secandmin(CJ36),BX36),""),"NO DATA")</f>
        <v/>
      </c>
    </row>
    <row r="67" spans="120:189" x14ac:dyDescent="0.25">
      <c r="DP67" s="37"/>
      <c r="DQ67" s="48" t="str">
        <f ca="1">A2</f>
        <v>8_22 Skyscraper_1</v>
      </c>
      <c r="DR67" s="5">
        <v>13</v>
      </c>
      <c r="DS67" s="1" t="str">
        <v>Not Played</v>
      </c>
      <c r="DT67" s="1" t="str">
        <f t="shared" si="38"/>
        <v>Krypticz</v>
      </c>
      <c r="DU67" s="1" t="str">
        <v>Not Played</v>
      </c>
      <c r="DV67" s="21" t="b" cm="1">
        <f t="array" ref="DV67">ConvertToRoundTime(secandmin(BA19),secandmin(CJ37),BB19)</f>
        <v>0</v>
      </c>
      <c r="DW67" s="1" t="b">
        <v>0</v>
      </c>
      <c r="DX67" s="1" t="str" cm="1">
        <f t="array" ref="DX67">DeathRefragged(DV67,MAX(ES19,ES35,ES51,ES67,ES83,FA100),MAX(EZ19,EZ35,EZ51,EZ67,EZ83,FI100),MAX(FG19,FG35,FG51,FG67,FG83,FP100),MAX(FN19,FN35,FN51,FN67,FN83,FW100),MAX(FU19,FU35,FU51,FU67,FU83,GD100),$Q$2)</f>
        <v>N/A</v>
      </c>
      <c r="DY67" s="1" t="str" cm="1">
        <f t="array" ref="DY67">DeathTraded(DV67,DW67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67" s="1" t="b">
        <v>0</v>
      </c>
      <c r="EA67" s="1" t="str">
        <v>NOLOC</v>
      </c>
      <c r="EB67" s="1" t="b" cm="1">
        <f t="array" ref="EB67">OpeningDeath(MAX(ES19,ES35,ES51,ES67,ES83),DV67,DV19,DV35,DV51,DV83)</f>
        <v>0</v>
      </c>
      <c r="EC67" s="1" t="b" cm="1">
        <f t="array" ref="EC67">EntryDeath(DV67,DV51,DV35,DV19,DV83)</f>
        <v>0</v>
      </c>
      <c r="ED67" s="5">
        <v>13</v>
      </c>
      <c r="EE67" s="1">
        <f t="shared" si="36"/>
        <v>0</v>
      </c>
      <c r="EF67" s="1">
        <f t="shared" si="39"/>
        <v>0</v>
      </c>
      <c r="EG67" s="1">
        <f t="shared" si="40"/>
        <v>0</v>
      </c>
      <c r="EH67" s="1" cm="1">
        <f t="array" ref="EH67">ExitFrag(EN67,MAX(DV19,DV35,DV51,DV83),MAX(ES19,ES35,ES51,ES67,ES83,FA100),MAX(EZ19,EZ35,EZ51,EZ67,EZ83,FI100),MAX(FG19,FG35,FG51,FG67,FG83,FP100),MAX(FN19,FN35,FN51,FN67,FN83,FW100),MAX(FU19,FU35,FU51,FU67,FU83,GD100))</f>
        <v>0</v>
      </c>
      <c r="EI67" s="1" t="b" cm="1">
        <f t="array" ref="EI67">OpeningKill(ES67,ES51,ES35,ES19,ES83,FB100,DV19,DV35,DV51,DV67,DV83)</f>
        <v>0</v>
      </c>
      <c r="EJ67" s="1" t="b">
        <f t="shared" si="41"/>
        <v>0</v>
      </c>
      <c r="EK67" s="5">
        <v>13</v>
      </c>
      <c r="EL67" s="1" t="b">
        <v>0</v>
      </c>
      <c r="EM67" s="1" t="str" cm="1">
        <f t="array" ref="EM67">IF(NOT(ISBLANK(CP37)),KOST(EE67,DY67,DV67,EL67),"NOT PLAYED")</f>
        <v>NOT PLAYED</v>
      </c>
      <c r="EN67" s="1" t="b" cm="1">
        <f t="array" ref="EN67">OneVX(DV83,DV19,DV35,DV51,DV67)</f>
        <v>0</v>
      </c>
      <c r="EO67" s="1" t="b">
        <f t="shared" si="42"/>
        <v>0</v>
      </c>
      <c r="EP67" s="1" t="str" cm="1">
        <f t="array" ref="EP67:EU67">DetermineKill(ConvertToRoundTime(secandmin(BS19),secandmin(CJ37),BT19),BR19,BV19,BW19,BU19,BY19,BX19,$O$5)</f>
        <v>NOLOC</v>
      </c>
      <c r="EQ67" s="1" t="b">
        <v>0</v>
      </c>
      <c r="ER67" s="1" t="b">
        <v>0</v>
      </c>
      <c r="ES67" s="1" t="b">
        <v>0</v>
      </c>
      <c r="ET67" s="1" t="b">
        <v>0</v>
      </c>
      <c r="EU67" s="1" t="b">
        <v>0</v>
      </c>
      <c r="EV67" s="1" t="str" cm="1">
        <f t="array" ref="EV67">DeathTraded(ES67,$O$5,DV19,$O$2,DV35,$O$3,DV51,$O$4,DV67,$O$5,DV83,$O$6,$R$2)</f>
        <v>N/A</v>
      </c>
      <c r="EW67" s="1" t="str" cm="1">
        <f t="array" ref="EW67:FB67">DetermineKill(ConvertToRoundTime(secandmin(CB19),secandmin(CJ37),CC19),CA19,CE19,CF19,CD19,CH19,CG19,$O$5)</f>
        <v>NOLOC</v>
      </c>
      <c r="EX67" s="1" t="b">
        <v>0</v>
      </c>
      <c r="EY67" s="1" t="b">
        <v>0</v>
      </c>
      <c r="EZ67" s="1" t="b">
        <v>0</v>
      </c>
      <c r="FA67" s="1" t="b">
        <v>0</v>
      </c>
      <c r="FB67" s="1" t="b">
        <v>0</v>
      </c>
      <c r="FC67" s="1" t="str" cm="1">
        <f t="array" ref="FC67">DeathTraded(EZ67,$O$5,DV19,$O$2,DV35,$O$3,DV51,$O$4,DV67,$O$5,DV83,$O$6,$R$2)</f>
        <v>N/A</v>
      </c>
      <c r="FD67" s="1" t="str" cm="1">
        <f t="array" ref="FD67:FI67">DetermineKill(ConvertToRoundTime(secandmin(CK19),secandmin(CJ37),CL19),CJ19,CN19,CO19,CM19,CQ19,CP19,$O$5)</f>
        <v>NOLOC</v>
      </c>
      <c r="FE67" s="1" t="b">
        <v>0</v>
      </c>
      <c r="FF67" s="1" t="b">
        <v>0</v>
      </c>
      <c r="FG67" s="1" t="b">
        <v>0</v>
      </c>
      <c r="FH67" s="1" t="b">
        <v>0</v>
      </c>
      <c r="FI67" s="1" t="b">
        <v>0</v>
      </c>
      <c r="FJ67" s="1" t="str" cm="1">
        <f t="array" ref="FJ67">DeathTraded(FG67,$O$5,DV19,$O$2,DV35,$O$3,DV51,$O$4,DV67,$O$5,DV83,$O$6,$R$2)</f>
        <v>N/A</v>
      </c>
      <c r="FK67" s="1" t="str" cm="1">
        <f t="array" ref="FK67:FP67">DetermineKill(ConvertToRoundTime(secandmin(CT19),secandmin(CJ37),CU19),CS19,CW19,CX19,CV19,CZ19,CY19,$O$5)</f>
        <v>NOLOC</v>
      </c>
      <c r="FL67" s="1" t="b">
        <v>0</v>
      </c>
      <c r="FM67" s="1" t="b">
        <v>0</v>
      </c>
      <c r="FN67" s="1" t="b">
        <v>0</v>
      </c>
      <c r="FO67" s="1" t="b">
        <v>0</v>
      </c>
      <c r="FP67" s="1" t="b">
        <v>0</v>
      </c>
      <c r="FQ67" s="1" t="str" cm="1">
        <f t="array" ref="FQ67">DeathTraded(FN67,$O$5,DV19,$O$2,DV35,$O$3,DV51,$O$4,DV67,$O$5,DV83,$O$6,$R$2)</f>
        <v>N/A</v>
      </c>
      <c r="FR67" s="1" t="str" cm="1">
        <f t="array" ref="FR67:FW67">DetermineKill(ConvertToRoundTime(secandmin(DC19),secandmin(CJ37),DD19),DB19,DF19,DG19,DE19,DI19,DH19,$O$5)</f>
        <v>NOLOC</v>
      </c>
      <c r="FS67" s="1" t="b">
        <v>0</v>
      </c>
      <c r="FT67" s="1" t="b">
        <v>0</v>
      </c>
      <c r="FU67" s="1" t="b">
        <v>0</v>
      </c>
      <c r="FV67" s="1" t="b">
        <v>0</v>
      </c>
      <c r="FW67" s="1" t="b">
        <v>0</v>
      </c>
      <c r="FX67" s="1" t="str" cm="1">
        <f t="array" ref="FX67">DeathTraded(FU67,$O$5,DV19,$O$2,DV35,$O$3,DV51,$O$4,DV67,$O$5,DV83,$O$6,$R$2)</f>
        <v>N/A</v>
      </c>
      <c r="FY67" s="5">
        <v>13</v>
      </c>
      <c r="FZ67" s="1">
        <f t="shared" si="43"/>
        <v>0</v>
      </c>
      <c r="GA67" s="21">
        <f t="shared" si="44"/>
        <v>0</v>
      </c>
      <c r="GB67" s="1" t="str">
        <f t="shared" si="37"/>
        <v>NODATA</v>
      </c>
      <c r="GC67" s="13" t="str">
        <f t="shared" si="45"/>
        <v>NODATA</v>
      </c>
      <c r="GD67" s="1" t="str">
        <f t="shared" si="46"/>
        <v>NODATA</v>
      </c>
      <c r="GE67" s="1" t="str">
        <f t="shared" si="47"/>
        <v>NODATA</v>
      </c>
      <c r="GF67" s="1" t="str" cm="1">
        <f t="array" ref="GF67">IF($V$2=TRUE,IF(CH37="Attack",ConvertToRoundTime(secandmin(BU37),secandmin(CJ37),BV37),""),"NO DATA")</f>
        <v/>
      </c>
      <c r="GG67" s="1" t="str" cm="1">
        <f t="array" ref="GG67">IF($V$2=TRUE,IF(CH37="Attack",ConvertToRoundTime(secandmin(BW37),secandmin(CJ37),BX37),""),"NO DATA")</f>
        <v/>
      </c>
    </row>
    <row r="68" spans="120:189" x14ac:dyDescent="0.25">
      <c r="DP68" s="37"/>
      <c r="DQ68" s="48" t="str">
        <f ca="1">A2</f>
        <v>8_22 Skyscraper_1</v>
      </c>
      <c r="DR68" s="4">
        <v>14</v>
      </c>
      <c r="DS68" s="1" t="str">
        <v>Not Played</v>
      </c>
      <c r="DT68" s="1" t="str">
        <f t="shared" si="38"/>
        <v>Krypticz</v>
      </c>
      <c r="DU68" s="1" t="str">
        <v>Not Played</v>
      </c>
      <c r="DV68" s="21" t="b" cm="1">
        <f t="array" ref="DV68">ConvertToRoundTime(secandmin(BA20),secandmin(CJ38),BB20)</f>
        <v>0</v>
      </c>
      <c r="DW68" s="1" t="b">
        <v>0</v>
      </c>
      <c r="DX68" s="1" t="str" cm="1">
        <f t="array" ref="DX68">DeathRefragged(DV68,MAX(ES20,ES36,ES52,ES68,ES84,FA101),MAX(EZ20,EZ36,EZ52,EZ68,EZ84,FI101),MAX(FG20,FG36,FG52,FG68,FG84,FP101),MAX(FN20,FN36,FN52,FN68,FN84,FW101),MAX(FU20,FU36,FU52,FU68,FU84,GD101),$Q$2)</f>
        <v>N/A</v>
      </c>
      <c r="DY68" s="1" t="str" cm="1">
        <f t="array" ref="DY68">DeathTraded(DV68,DW68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68" s="1" t="b">
        <v>0</v>
      </c>
      <c r="EA68" s="1" t="str">
        <v>NOLOC</v>
      </c>
      <c r="EB68" s="1" t="b" cm="1">
        <f t="array" ref="EB68">OpeningDeath(MAX(ES20,ES36,ES52,ES68,ES84),DV68,DV20,DV36,DV52,DV84)</f>
        <v>0</v>
      </c>
      <c r="EC68" s="1" t="b" cm="1">
        <f t="array" ref="EC68">EntryDeath(DV68,DV52,DV36,DV20,DV84)</f>
        <v>0</v>
      </c>
      <c r="ED68" s="4">
        <v>14</v>
      </c>
      <c r="EE68" s="1">
        <f t="shared" si="36"/>
        <v>0</v>
      </c>
      <c r="EF68" s="1">
        <f t="shared" si="39"/>
        <v>0</v>
      </c>
      <c r="EG68" s="1">
        <f t="shared" si="40"/>
        <v>0</v>
      </c>
      <c r="EH68" s="1" cm="1">
        <f t="array" ref="EH68">ExitFrag(EN68,MAX(DV20,DV36,DV52,DV84),MAX(ES20,ES36,ES52,ES68,ES84,FA101),MAX(EZ20,EZ36,EZ52,EZ68,EZ84,FI101),MAX(FG20,FG36,FG52,FG68,FG84,FP101),MAX(FN20,FN36,FN52,FN68,FN84,FW101),MAX(FU20,FU36,FU52,FU68,FU84,GD101))</f>
        <v>0</v>
      </c>
      <c r="EI68" s="1" t="b" cm="1">
        <f t="array" ref="EI68">OpeningKill(ES68,ES52,ES36,ES20,ES84,FB101,DV20,DV36,DV52,DV68,DV84)</f>
        <v>0</v>
      </c>
      <c r="EJ68" s="1" t="b">
        <f t="shared" si="41"/>
        <v>0</v>
      </c>
      <c r="EK68" s="4">
        <v>14</v>
      </c>
      <c r="EL68" s="1" t="b">
        <v>0</v>
      </c>
      <c r="EM68" s="1" t="str" cm="1">
        <f t="array" ref="EM68">IF(NOT(ISBLANK(CP38)),KOST(EE68,DY68,DV68,EL68),"NOT PLAYED")</f>
        <v>NOT PLAYED</v>
      </c>
      <c r="EN68" s="1" t="b" cm="1">
        <f t="array" ref="EN68">OneVX(DV84,DV20,DV36,DV52,DV68)</f>
        <v>0</v>
      </c>
      <c r="EO68" s="1" t="b">
        <f t="shared" si="42"/>
        <v>0</v>
      </c>
      <c r="EP68" s="1" t="str" cm="1">
        <f t="array" ref="EP68:EU68">DetermineKill(ConvertToRoundTime(secandmin(BS20),secandmin(CJ38),BT20),BR20,BV20,BW20,BU20,BY20,BX20,$O$5)</f>
        <v>NOLOC</v>
      </c>
      <c r="EQ68" s="1" t="b">
        <v>0</v>
      </c>
      <c r="ER68" s="1" t="b">
        <v>0</v>
      </c>
      <c r="ES68" s="1" t="b">
        <v>0</v>
      </c>
      <c r="ET68" s="1" t="b">
        <v>0</v>
      </c>
      <c r="EU68" s="1" t="b">
        <v>0</v>
      </c>
      <c r="EV68" s="1" t="str" cm="1">
        <f t="array" ref="EV68">DeathTraded(ES68,$O$5,DV20,$O$2,DV36,$O$3,DV52,$O$4,DV68,$O$5,DV84,$O$6,$R$2)</f>
        <v>N/A</v>
      </c>
      <c r="EW68" s="1" t="str" cm="1">
        <f t="array" ref="EW68:FB68">DetermineKill(ConvertToRoundTime(secandmin(CB20),secandmin(CJ38),CC20),CA20,CE20,CF20,CD20,CH20,CG20,$O$5)</f>
        <v>NOLOC</v>
      </c>
      <c r="EX68" s="1" t="b">
        <v>0</v>
      </c>
      <c r="EY68" s="1" t="b">
        <v>0</v>
      </c>
      <c r="EZ68" s="1" t="b">
        <v>0</v>
      </c>
      <c r="FA68" s="1" t="b">
        <v>0</v>
      </c>
      <c r="FB68" s="1" t="b">
        <v>0</v>
      </c>
      <c r="FC68" s="1" t="str" cm="1">
        <f t="array" ref="FC68">DeathTraded(EZ68,$O$5,DV20,$O$2,DV36,$O$3,DV52,$O$4,DV68,$O$5,DV84,$O$6,$R$2)</f>
        <v>N/A</v>
      </c>
      <c r="FD68" s="1" t="str" cm="1">
        <f t="array" ref="FD68:FI68">DetermineKill(ConvertToRoundTime(secandmin(CK20),secandmin(CJ38),CL20),CJ20,CN20,CO20,CM20,CQ20,CP20,$O$5)</f>
        <v>NOLOC</v>
      </c>
      <c r="FE68" s="1" t="b">
        <v>0</v>
      </c>
      <c r="FF68" s="1" t="b">
        <v>0</v>
      </c>
      <c r="FG68" s="1" t="b">
        <v>0</v>
      </c>
      <c r="FH68" s="1" t="b">
        <v>0</v>
      </c>
      <c r="FI68" s="1" t="b">
        <v>0</v>
      </c>
      <c r="FJ68" s="1" t="str" cm="1">
        <f t="array" ref="FJ68">DeathTraded(FG68,$O$5,DV20,$O$2,DV36,$O$3,DV52,$O$4,DV68,$O$5,DV84,$O$6,$R$2)</f>
        <v>N/A</v>
      </c>
      <c r="FK68" s="1" t="str" cm="1">
        <f t="array" ref="FK68:FP68">DetermineKill(ConvertToRoundTime(secandmin(CT20),secandmin(CJ38),CU20),CS20,CW20,CX20,CV20,CZ20,CY20,$O$5)</f>
        <v>NOLOC</v>
      </c>
      <c r="FL68" s="1" t="b">
        <v>0</v>
      </c>
      <c r="FM68" s="1" t="b">
        <v>0</v>
      </c>
      <c r="FN68" s="1" t="b">
        <v>0</v>
      </c>
      <c r="FO68" s="1" t="b">
        <v>0</v>
      </c>
      <c r="FP68" s="1" t="b">
        <v>0</v>
      </c>
      <c r="FQ68" s="1" t="str" cm="1">
        <f t="array" ref="FQ68">DeathTraded(FN68,$O$5,DV20,$O$2,DV36,$O$3,DV52,$O$4,DV68,$O$5,DV84,$O$6,$R$2)</f>
        <v>N/A</v>
      </c>
      <c r="FR68" s="1" t="str" cm="1">
        <f t="array" ref="FR68:FW68">DetermineKill(ConvertToRoundTime(secandmin(DC20),secandmin(CJ38),DD20),DB20,DF20,DG20,DE20,DI20,DH20,$O$5)</f>
        <v>NOLOC</v>
      </c>
      <c r="FS68" s="1" t="b">
        <v>0</v>
      </c>
      <c r="FT68" s="1" t="b">
        <v>0</v>
      </c>
      <c r="FU68" s="1" t="b">
        <v>0</v>
      </c>
      <c r="FV68" s="1" t="b">
        <v>0</v>
      </c>
      <c r="FW68" s="1" t="b">
        <v>0</v>
      </c>
      <c r="FX68" s="1" t="str" cm="1">
        <f t="array" ref="FX68">DeathTraded(FU68,$O$5,DV20,$O$2,DV36,$O$3,DV52,$O$4,DV68,$O$5,DV84,$O$6,$R$2)</f>
        <v>N/A</v>
      </c>
      <c r="FY68" s="4">
        <v>14</v>
      </c>
      <c r="FZ68" s="1">
        <f t="shared" si="43"/>
        <v>0</v>
      </c>
      <c r="GA68" s="21">
        <f t="shared" si="44"/>
        <v>0</v>
      </c>
      <c r="GB68" s="1" t="str">
        <f t="shared" si="37"/>
        <v>NODATA</v>
      </c>
      <c r="GC68" s="13" t="str">
        <f t="shared" si="45"/>
        <v>NODATA</v>
      </c>
      <c r="GD68" s="1" t="str">
        <f t="shared" si="46"/>
        <v>NODATA</v>
      </c>
      <c r="GE68" s="1" t="str">
        <f t="shared" si="47"/>
        <v>NODATA</v>
      </c>
      <c r="GF68" s="1" t="str" cm="1">
        <f t="array" ref="GF68">IF($V$2=TRUE,IF(CH38="Attack",ConvertToRoundTime(secandmin(BU38),secandmin(CJ38),BV38),""),"NO DATA")</f>
        <v/>
      </c>
      <c r="GG68" s="1" t="str" cm="1">
        <f t="array" ref="GG68">IF($V$2=TRUE,IF(CH38="Attack",ConvertToRoundTime(secandmin(BW38),secandmin(CJ38),BX38),""),"NO DATA")</f>
        <v/>
      </c>
    </row>
    <row r="69" spans="120:189" x14ac:dyDescent="0.25">
      <c r="DP69" s="37"/>
      <c r="DQ69" s="48" t="str">
        <f ca="1">A2</f>
        <v>8_22 Skyscraper_1</v>
      </c>
      <c r="DR69" s="5">
        <v>15</v>
      </c>
      <c r="DS69" s="1" t="str">
        <v>Not Played</v>
      </c>
      <c r="DT69" s="1" t="str">
        <f t="shared" si="38"/>
        <v>Krypticz</v>
      </c>
      <c r="DU69" s="1" t="str">
        <v>Not Played</v>
      </c>
      <c r="DV69" s="21" t="b" cm="1">
        <f t="array" ref="DV69">ConvertToRoundTime(secandmin(BA21),secandmin(CJ39),BB21)</f>
        <v>0</v>
      </c>
      <c r="DW69" s="1" t="b">
        <v>0</v>
      </c>
      <c r="DX69" s="1" t="str" cm="1">
        <f t="array" ref="DX69">DeathRefragged(DV69,MAX(ES21,ES37,ES53,ES69,ES85,FA102),MAX(EZ21,EZ37,EZ53,EZ69,EZ85,FI102),MAX(FG21,FG37,FG53,FG69,FG85,FP102),MAX(FN21,FN37,FN53,FN69,FN85,FW102),MAX(FU21,FU37,FU53,FU69,FU85,GD102),$Q$2)</f>
        <v>N/A</v>
      </c>
      <c r="DY69" s="1" t="str" cm="1">
        <f t="array" ref="DY69">DeathTraded(DV69,DW69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69" s="1" t="b">
        <v>0</v>
      </c>
      <c r="EA69" s="1" t="str">
        <v>NOLOC</v>
      </c>
      <c r="EB69" s="1" t="b" cm="1">
        <f t="array" ref="EB69">OpeningDeath(MAX(ES21,ES37,ES53,ES69,ES85),DV69,DV21,DV37,DV53,DV85)</f>
        <v>0</v>
      </c>
      <c r="EC69" s="1" t="b" cm="1">
        <f t="array" ref="EC69">EntryDeath(DV69,DV53,DV37,DV21,DV85)</f>
        <v>0</v>
      </c>
      <c r="ED69" s="5">
        <v>15</v>
      </c>
      <c r="EE69" s="1">
        <f t="shared" si="36"/>
        <v>0</v>
      </c>
      <c r="EF69" s="1">
        <f t="shared" si="39"/>
        <v>0</v>
      </c>
      <c r="EG69" s="1">
        <f t="shared" si="40"/>
        <v>0</v>
      </c>
      <c r="EH69" s="1" cm="1">
        <f t="array" ref="EH69">ExitFrag(EN69,MAX(DV21,DV37,DV53,DV85),MAX(ES21,ES37,ES53,ES69,ES85,FA102),MAX(EZ21,EZ37,EZ53,EZ69,EZ85,FI102),MAX(FG21,FG37,FG53,FG69,FG85,FP102),MAX(FN21,FN37,FN53,FN69,FN85,FW102),MAX(FU21,FU37,FU53,FU69,FU85,GD102))</f>
        <v>0</v>
      </c>
      <c r="EI69" s="1" t="b" cm="1">
        <f t="array" ref="EI69">OpeningKill(ES69,ES53,ES37,ES21,ES85,FB102,DV21,DV37,DV53,DV69,DV85)</f>
        <v>0</v>
      </c>
      <c r="EJ69" s="1" t="b">
        <f t="shared" si="41"/>
        <v>0</v>
      </c>
      <c r="EK69" s="5">
        <v>15</v>
      </c>
      <c r="EL69" s="1" t="b">
        <v>0</v>
      </c>
      <c r="EM69" s="1" t="str" cm="1">
        <f t="array" ref="EM69">IF(NOT(ISBLANK(CP39)),KOST(EE69,DY69,DV69,EL69),"NOT PLAYED")</f>
        <v>NOT PLAYED</v>
      </c>
      <c r="EN69" s="1" t="b" cm="1">
        <f t="array" ref="EN69">OneVX(DV85,DV21,DV37,DV53,DV69)</f>
        <v>0</v>
      </c>
      <c r="EO69" s="1" t="b">
        <f t="shared" si="42"/>
        <v>0</v>
      </c>
      <c r="EP69" s="1" t="str" cm="1">
        <f t="array" ref="EP69:EU69">DetermineKill(ConvertToRoundTime(secandmin(BS21),secandmin(CJ39),BT21),BR21,BV21,BW21,BU21,BY21,BX21,$O$5)</f>
        <v>NOLOC</v>
      </c>
      <c r="EQ69" s="1" t="b">
        <v>0</v>
      </c>
      <c r="ER69" s="1" t="b">
        <v>0</v>
      </c>
      <c r="ES69" s="1" t="b">
        <v>0</v>
      </c>
      <c r="ET69" s="1" t="b">
        <v>0</v>
      </c>
      <c r="EU69" s="1" t="b">
        <v>0</v>
      </c>
      <c r="EV69" s="1" t="str" cm="1">
        <f t="array" ref="EV69">DeathTraded(ES69,$O$5,DV21,$O$2,DV37,$O$3,DV53,$O$4,DV69,$O$5,DV85,$O$6,$R$2)</f>
        <v>N/A</v>
      </c>
      <c r="EW69" s="1" t="str" cm="1">
        <f t="array" ref="EW69:FB69">DetermineKill(ConvertToRoundTime(secandmin(CB21),secandmin(CJ39),CC21),CA21,CE21,CF21,CD21,CH21,CG21,$O$5)</f>
        <v>NOLOC</v>
      </c>
      <c r="EX69" s="1" t="b">
        <v>0</v>
      </c>
      <c r="EY69" s="1" t="b">
        <v>0</v>
      </c>
      <c r="EZ69" s="1" t="b">
        <v>0</v>
      </c>
      <c r="FA69" s="1" t="b">
        <v>0</v>
      </c>
      <c r="FB69" s="1" t="b">
        <v>0</v>
      </c>
      <c r="FC69" s="1" t="str" cm="1">
        <f t="array" ref="FC69">DeathTraded(EZ69,$O$5,DV21,$O$2,DV37,$O$3,DV53,$O$4,DV69,$O$5,DV85,$O$6,$R$2)</f>
        <v>N/A</v>
      </c>
      <c r="FD69" s="1" t="str" cm="1">
        <f t="array" ref="FD69:FI69">DetermineKill(ConvertToRoundTime(secandmin(CK21),secandmin(CJ39),CL21),CJ21,CN21,CO21,CM21,CQ21,CP21,$O$5)</f>
        <v>NOLOC</v>
      </c>
      <c r="FE69" s="1" t="b">
        <v>0</v>
      </c>
      <c r="FF69" s="1" t="b">
        <v>0</v>
      </c>
      <c r="FG69" s="1" t="b">
        <v>0</v>
      </c>
      <c r="FH69" s="1" t="b">
        <v>0</v>
      </c>
      <c r="FI69" s="1" t="b">
        <v>0</v>
      </c>
      <c r="FJ69" s="1" t="str" cm="1">
        <f t="array" ref="FJ69">DeathTraded(FG69,$O$5,DV21,$O$2,DV37,$O$3,DV53,$O$4,DV69,$O$5,DV85,$O$6,$R$2)</f>
        <v>N/A</v>
      </c>
      <c r="FK69" s="1" t="str" cm="1">
        <f t="array" ref="FK69:FP69">DetermineKill(ConvertToRoundTime(secandmin(CT21),secandmin(CJ39),CU21),CS21,CW21,CX21,CV21,CZ21,CY21,$O$5)</f>
        <v>NOLOC</v>
      </c>
      <c r="FL69" s="1" t="b">
        <v>0</v>
      </c>
      <c r="FM69" s="1" t="b">
        <v>0</v>
      </c>
      <c r="FN69" s="1" t="b">
        <v>0</v>
      </c>
      <c r="FO69" s="1" t="b">
        <v>0</v>
      </c>
      <c r="FP69" s="1" t="b">
        <v>0</v>
      </c>
      <c r="FQ69" s="1" t="str" cm="1">
        <f t="array" ref="FQ69">DeathTraded(FN69,$O$5,DV21,$O$2,DV37,$O$3,DV53,$O$4,DV69,$O$5,DV85,$O$6,$R$2)</f>
        <v>N/A</v>
      </c>
      <c r="FR69" s="1" t="str" cm="1">
        <f t="array" ref="FR69:FW69">DetermineKill(ConvertToRoundTime(secandmin(DC21),secandmin(CJ39),DD21),DB21,DF21,DG21,DE21,DI21,DH21,$O$5)</f>
        <v>NOLOC</v>
      </c>
      <c r="FS69" s="1" t="b">
        <v>0</v>
      </c>
      <c r="FT69" s="1" t="b">
        <v>0</v>
      </c>
      <c r="FU69" s="1" t="b">
        <v>0</v>
      </c>
      <c r="FV69" s="1" t="b">
        <v>0</v>
      </c>
      <c r="FW69" s="1" t="b">
        <v>0</v>
      </c>
      <c r="FX69" s="1" t="str" cm="1">
        <f t="array" ref="FX69">DeathTraded(FU69,$O$5,DV21,$O$2,DV37,$O$3,DV53,$O$4,DV69,$O$5,DV85,$O$6,$R$2)</f>
        <v>N/A</v>
      </c>
      <c r="FY69" s="5">
        <v>15</v>
      </c>
      <c r="FZ69" s="1">
        <f t="shared" si="43"/>
        <v>0</v>
      </c>
      <c r="GA69" s="21">
        <f t="shared" si="44"/>
        <v>0</v>
      </c>
      <c r="GB69" s="1" t="str">
        <f t="shared" si="37"/>
        <v>NODATA</v>
      </c>
      <c r="GC69" s="13" t="str">
        <f t="shared" si="45"/>
        <v>NODATA</v>
      </c>
      <c r="GD69" s="1" t="str">
        <f t="shared" si="46"/>
        <v>NODATA</v>
      </c>
      <c r="GE69" s="1" t="str">
        <f t="shared" si="47"/>
        <v>NODATA</v>
      </c>
      <c r="GF69" s="1" t="str" cm="1">
        <f t="array" ref="GF69">IF($V$2=TRUE,IF(CH39="Attack",ConvertToRoundTime(secandmin(BU39),secandmin(CJ39),BV39),""),"NO DATA")</f>
        <v/>
      </c>
      <c r="GG69" s="1" t="str" cm="1">
        <f t="array" ref="GG69">IF($V$2=TRUE,IF(CH39="Attack",ConvertToRoundTime(secandmin(BW39),secandmin(CJ39),BX39),""),"NO DATA")</f>
        <v/>
      </c>
    </row>
    <row r="70" spans="120:189" x14ac:dyDescent="0.25">
      <c r="DP70" s="36" t="str">
        <f>$O$6</f>
        <v>Aggro</v>
      </c>
      <c r="DQ70" s="48" t="s">
        <v>326</v>
      </c>
      <c r="DR70" s="16" t="s">
        <v>46</v>
      </c>
      <c r="DS70" s="9" t="s">
        <v>55</v>
      </c>
      <c r="DT70" s="21" t="s">
        <v>310</v>
      </c>
      <c r="DU70" s="21" t="s">
        <v>323</v>
      </c>
      <c r="DV70" s="21" t="s">
        <v>54</v>
      </c>
      <c r="DW70" s="50" t="s">
        <v>62</v>
      </c>
      <c r="DX70" s="50" t="s">
        <v>219</v>
      </c>
      <c r="DY70" s="50" t="s">
        <v>220</v>
      </c>
      <c r="DZ70" s="50" t="s">
        <v>221</v>
      </c>
      <c r="EA70" s="50" t="s">
        <v>245</v>
      </c>
      <c r="EB70" s="50" t="s">
        <v>257</v>
      </c>
      <c r="EC70" s="50" t="s">
        <v>258</v>
      </c>
      <c r="ED70" s="51" t="s">
        <v>405</v>
      </c>
      <c r="EE70" s="50" t="s">
        <v>9</v>
      </c>
      <c r="EF70" s="50" t="s">
        <v>222</v>
      </c>
      <c r="EG70" s="50" t="s">
        <v>223</v>
      </c>
      <c r="EH70" s="50" t="s">
        <v>246</v>
      </c>
      <c r="EI70" s="50" t="s">
        <v>259</v>
      </c>
      <c r="EJ70" s="50" t="s">
        <v>260</v>
      </c>
      <c r="EK70" s="51" t="s">
        <v>406</v>
      </c>
      <c r="EL70" s="21" t="s">
        <v>324</v>
      </c>
      <c r="EM70" s="50" t="s">
        <v>33</v>
      </c>
      <c r="EN70" s="50" t="s">
        <v>66</v>
      </c>
      <c r="EO70" s="21" t="s">
        <v>35</v>
      </c>
      <c r="EP70" s="13" t="s">
        <v>60</v>
      </c>
      <c r="EQ70" s="13" t="s">
        <v>340</v>
      </c>
      <c r="ER70" s="13" t="s">
        <v>311</v>
      </c>
      <c r="ES70" s="13" t="s">
        <v>312</v>
      </c>
      <c r="ET70" s="13" t="s">
        <v>41</v>
      </c>
      <c r="EU70" s="13" t="s">
        <v>338</v>
      </c>
      <c r="EV70" s="13" t="s">
        <v>339</v>
      </c>
      <c r="EW70" s="21" t="s">
        <v>61</v>
      </c>
      <c r="EX70" s="21" t="s">
        <v>423</v>
      </c>
      <c r="EY70" s="21" t="s">
        <v>313</v>
      </c>
      <c r="EZ70" s="21" t="s">
        <v>314</v>
      </c>
      <c r="FA70" s="21" t="s">
        <v>422</v>
      </c>
      <c r="FB70" s="21" t="s">
        <v>421</v>
      </c>
      <c r="FC70" s="21" t="s">
        <v>420</v>
      </c>
      <c r="FD70" s="13" t="s">
        <v>63</v>
      </c>
      <c r="FE70" s="13" t="s">
        <v>419</v>
      </c>
      <c r="FF70" s="13" t="s">
        <v>315</v>
      </c>
      <c r="FG70" s="13" t="s">
        <v>316</v>
      </c>
      <c r="FH70" s="13" t="s">
        <v>418</v>
      </c>
      <c r="FI70" s="13" t="s">
        <v>417</v>
      </c>
      <c r="FJ70" s="13" t="s">
        <v>416</v>
      </c>
      <c r="FK70" s="21" t="s">
        <v>64</v>
      </c>
      <c r="FL70" s="21" t="s">
        <v>415</v>
      </c>
      <c r="FM70" s="21" t="s">
        <v>317</v>
      </c>
      <c r="FN70" s="21" t="s">
        <v>318</v>
      </c>
      <c r="FO70" s="21" t="s">
        <v>414</v>
      </c>
      <c r="FP70" s="21" t="s">
        <v>413</v>
      </c>
      <c r="FQ70" s="21" t="s">
        <v>412</v>
      </c>
      <c r="FR70" s="13" t="s">
        <v>65</v>
      </c>
      <c r="FS70" s="13" t="s">
        <v>411</v>
      </c>
      <c r="FT70" s="13" t="s">
        <v>319</v>
      </c>
      <c r="FU70" s="13" t="s">
        <v>320</v>
      </c>
      <c r="FV70" s="13" t="s">
        <v>409</v>
      </c>
      <c r="FW70" s="13" t="s">
        <v>408</v>
      </c>
      <c r="FX70" s="13" t="s">
        <v>410</v>
      </c>
      <c r="FY70" s="16" t="s">
        <v>407</v>
      </c>
      <c r="FZ70" s="21" t="s">
        <v>249</v>
      </c>
      <c r="GA70" s="21" t="s">
        <v>250</v>
      </c>
      <c r="GB70" s="21" t="s">
        <v>58</v>
      </c>
      <c r="GC70" s="21" t="s">
        <v>57</v>
      </c>
      <c r="GD70" s="21" t="s">
        <v>42</v>
      </c>
      <c r="GE70" s="21" t="s">
        <v>43</v>
      </c>
      <c r="GF70" s="21" t="s">
        <v>247</v>
      </c>
      <c r="GG70" s="21" t="s">
        <v>248</v>
      </c>
    </row>
    <row r="71" spans="120:189" x14ac:dyDescent="0.25">
      <c r="DP71" s="37"/>
      <c r="DQ71" s="48" t="str">
        <f ca="1">A2</f>
        <v>8_22 Skyscraper_1</v>
      </c>
      <c r="DR71" s="5">
        <v>1</v>
      </c>
      <c r="DS71" s="1" t="str" cm="1">
        <f t="array" ref="DS71:DS85">IF($CH$25:$CH$39=0,"Not Played", $CH$25:$CH$39)</f>
        <v>Attack</v>
      </c>
      <c r="DT71" s="1" t="str">
        <f>$O$6</f>
        <v>Aggro</v>
      </c>
      <c r="DU71" s="1" t="str" cm="1">
        <f t="array" ref="DU71:DU85">IF($CT$25:$CT39=0,"Not Played",$CT$25:$CT39)</f>
        <v>Maverick</v>
      </c>
      <c r="DV71" s="21" t="b" cm="1">
        <f t="array" ref="DV71">ConvertToRoundTime(secandmin(BI7),secandmin(CJ25),BJ7)</f>
        <v>0</v>
      </c>
      <c r="DW71" s="1" t="b" cm="1">
        <f t="array" ref="DW71:DW85">IF($BK$7:$BK$21=0,FALSE,$BK$7:$BK$21)</f>
        <v>0</v>
      </c>
      <c r="DX71" s="1" t="str" cm="1">
        <f t="array" ref="DX71">DeathRefragged(DV71,MAX(ES7,ES23,ES39,ES55,ES71,FA88),MAX(EZ7,EZ23,EZ39,EZ55,EZ71,FI88),MAX(FG7,FG23,FG39,FG55,FG71,FP88),MAX(FN7,FN23,FN39,FN55,FN71,FW88),MAX(FU7,FU23,FU39,FU55,FU71,GD88),$Q$2)</f>
        <v>N/A</v>
      </c>
      <c r="DY71" s="1" t="str" cm="1">
        <f t="array" ref="DY71">DeathTraded(DV71,DW71,MAX(ES7,ES23,ES39,ES55,ES71,FA88),getKiller(ER7,ER23,ER39,ER55,ER71,FA88),MAX(EZ7,EZ23,EZ39,EZ55,EZ71,FI88),getKiller(EY7,EY23,EY39,EY55,EY71,FH88),MAX(FG7,FG23,FG39,FG55,FG71,FP88),getKiller(FF7,FF23,FF39,FF55,FF71,FO88),MAX(FN7,FN23,FN39,FN55,FN71,FW88),getKiller(FU7,FU23,FU39,FU55,FU71,FV88),MAX(FU7,FU23,FU39,FU55,FU71,GD88),getKiller(FT7,FT23,FT39,FT55,FT71,GC88),$O$2)</f>
        <v>N/A</v>
      </c>
      <c r="DZ71" s="1" t="b" cm="1">
        <f t="array" ref="DZ71:DZ85">IF($BM$7:$BM$21=0,FALSE,$BM$7:$BM21)</f>
        <v>0</v>
      </c>
      <c r="EA71" s="1" t="str" cm="1">
        <f t="array" ref="EA71:EA85">IF($BL$7:$BL$21=0,"NOLOC",$BL$7:$BL$21)</f>
        <v>NOLOC</v>
      </c>
      <c r="EB71" s="1" t="b" cm="1">
        <f t="array" ref="EB71">OpeningDeath(MAX(ES7,ES23,ES39,ES55,ES71),DV71,DV7,DV23,DV39,DV55)</f>
        <v>0</v>
      </c>
      <c r="EC71" s="1" t="b" cm="1">
        <f t="array" ref="EC71">EntryDeath(DV71,DV55,DV39,DV23,DV7)</f>
        <v>0</v>
      </c>
      <c r="ED71" s="5">
        <v>1</v>
      </c>
      <c r="EE71" s="1">
        <f t="shared" ref="EE71:EE85" si="48">SUM(IF(ES71=FALSE,0,1),IF(EZ71=FALSE,0,1),IF(FG71=FALSE,0,1),IF(FN71=FALSE,0,1),IF(FU71=FALSE,0,1))</f>
        <v>1</v>
      </c>
      <c r="EF71" s="1">
        <f>SUM(IF(EU71=TRUE,1,0),IF(FI71=TRUE,1,0),IF(FP71=TRUE,1,0),IF(FW71=TRUE,1,0),IF(FB71=TRUE,1,0))</f>
        <v>1</v>
      </c>
      <c r="EG71" s="1">
        <f>SUM(IF(EQ71=TRUE,1,0),IF(FE71=TRUE,1,0),IF(FL71=TRUE,1,0),IF(FS71=TRUE,1,0),IF(EX71=TRUE,1,0))</f>
        <v>0</v>
      </c>
      <c r="EH71" s="1" cm="1">
        <f t="array" ref="EH71">ExitFrag(EN71,MAX(DV7,DV39,DV55,DV23),MAX(ES7,ES23,ES39,ES55,ES71,FA88),MAX(EZ7,EZ23,EZ39,EZ55,EZ71,FI88),MAX(FG7,FG23,FG39,FG55,FG71,FP88),MAX(FN7,FN23,FN39,FN55,FN71,FW88),MAX(FU7,FU23,FU39,FU55,FU71,GD88))</f>
        <v>0</v>
      </c>
      <c r="EI71" s="1" t="b" cm="1">
        <f t="array" ref="EI71">OpeningKill(ES71,ES55,ES39,ES23,ES7,FB88,DV7,DV23,DV39,DV55,DV71)</f>
        <v>1</v>
      </c>
      <c r="EJ71" s="1" t="b">
        <f>IF(ES71=FALSE,FALSE,TRUE)</f>
        <v>1</v>
      </c>
      <c r="EK71" s="5">
        <v>1</v>
      </c>
      <c r="EL71" s="1" t="b" cm="1">
        <f t="array" ref="EL71:EL85">IF($BN$7:$BN$21=0,FALSE,$BN$7:$BN21)</f>
        <v>0</v>
      </c>
      <c r="EM71" s="1" t="b" cm="1">
        <f t="array" ref="EM71">IF(NOT(ISBLANK(CP25)),KOST(EE71,DY71,DV71,EL71),"NOT PLAYED")</f>
        <v>1</v>
      </c>
      <c r="EN71" s="1" t="b" cm="1">
        <f t="array" ref="EN71">OneVX(DV7,DV23,DV39,DV55,DV71)</f>
        <v>0</v>
      </c>
      <c r="EO71" s="1" t="b">
        <f>IF(AND(EN71=TRUE,CM25="Won"),TRUE,FALSE)</f>
        <v>0</v>
      </c>
      <c r="EP71" s="1" t="str" cm="1">
        <f t="array" ref="EP71:EU71">DetermineKill(ConvertToRoundTime(secandmin(BS7),secandmin(CJ25),BT7),BR7,BV7,BW7,BU7,BY7,BX7,$O$6)</f>
        <v>UNKNOWN</v>
      </c>
      <c r="EQ71" s="1" t="b">
        <v>0</v>
      </c>
      <c r="ER71" s="1" t="str">
        <v>Floofs</v>
      </c>
      <c r="ES71" s="1">
        <v>57</v>
      </c>
      <c r="ET71" s="1" t="b">
        <v>0</v>
      </c>
      <c r="EU71" s="1" t="b">
        <v>1</v>
      </c>
      <c r="EV71" s="1" t="b" cm="1">
        <f t="array" ref="EV71">DeathTraded(ES71,$O$6,DV7,$O$2,DV23,$O$3,DV39,$O$4,DV55,$O$5,DV71,$O$6,$R$2)</f>
        <v>0</v>
      </c>
      <c r="EW71" s="1" t="str" cm="1">
        <f t="array" ref="EW71:FB71">DetermineKill(ConvertToRoundTime(secandmin(CB7),secandmin(CJ25),CC7),CA7,CE7,CF7,CD7,CH7,CG7,$O$6)</f>
        <v>NOLOC</v>
      </c>
      <c r="EX71" s="1" t="b">
        <v>0</v>
      </c>
      <c r="EY71" s="1" t="b">
        <v>0</v>
      </c>
      <c r="EZ71" s="1" t="b">
        <v>0</v>
      </c>
      <c r="FA71" s="1" t="b">
        <v>0</v>
      </c>
      <c r="FB71" s="1" t="b">
        <v>0</v>
      </c>
      <c r="FC71" s="1" t="str" cm="1">
        <f t="array" ref="FC71">DeathTraded(EZ71,$O$6,DV7,$O$2,DV23,$O$3,DV39,$O$4,DV55,$O$5,DV71,$O$6,$R$2)</f>
        <v>N/A</v>
      </c>
      <c r="FD71" s="1" t="str" cm="1">
        <f t="array" ref="FD71:FI71">DetermineKill(ConvertToRoundTime(secandmin(CK7),secandmin(CJ25),CL7),CJ7,CN7,CO7,CM7,CQ7,CP7,$O$6)</f>
        <v>NOLOC</v>
      </c>
      <c r="FE71" s="1" t="b">
        <v>0</v>
      </c>
      <c r="FF71" s="1" t="b">
        <v>0</v>
      </c>
      <c r="FG71" s="1" t="b">
        <v>0</v>
      </c>
      <c r="FH71" s="1" t="b">
        <v>0</v>
      </c>
      <c r="FI71" s="1" t="b">
        <v>0</v>
      </c>
      <c r="FJ71" s="1" t="str" cm="1">
        <f t="array" ref="FJ71">DeathTraded(FG71,$O$6,DV7,$O$2,DV23,$O$3,DV39,$O$4,DV55,$O$5,DV71,$O$6,$R$2)</f>
        <v>N/A</v>
      </c>
      <c r="FK71" s="1" t="str" cm="1">
        <f t="array" ref="FK71:FP71">DetermineKill(ConvertToRoundTime(secandmin(CT7),secandmin(CJ25),CU7),CS7,CW7,CX7,CV7,CZ7,CY7,$O$6)</f>
        <v>NOLOC</v>
      </c>
      <c r="FL71" s="1" t="b">
        <v>0</v>
      </c>
      <c r="FM71" s="1" t="b">
        <v>0</v>
      </c>
      <c r="FN71" s="1" t="b">
        <v>0</v>
      </c>
      <c r="FO71" s="1" t="b">
        <v>0</v>
      </c>
      <c r="FP71" s="1" t="b">
        <v>0</v>
      </c>
      <c r="FQ71" s="1" t="str" cm="1">
        <f t="array" ref="FQ71">DeathTraded(FN71,$O$6,DV7,$O$2,DV23,$O$3,DV39,$O$4,DV55,$O$5,DV71,$O$6,$R$2)</f>
        <v>N/A</v>
      </c>
      <c r="FR71" s="1" t="str" cm="1">
        <f t="array" ref="FR71:FW71">DetermineKill(ConvertToRoundTime(secandmin(DC7),secandmin(CJ25),DD7),DB7,DF7,DG7,DE7,DI7,DH7,$O$6)</f>
        <v>NOLOC</v>
      </c>
      <c r="FS71" s="1" t="b">
        <v>0</v>
      </c>
      <c r="FT71" s="1" t="b">
        <v>0</v>
      </c>
      <c r="FU71" s="1" t="b">
        <v>0</v>
      </c>
      <c r="FV71" s="1" t="b">
        <v>0</v>
      </c>
      <c r="FW71" s="1" t="b">
        <v>0</v>
      </c>
      <c r="FX71" s="1" t="str" cm="1">
        <f t="array" ref="FX71">DeathTraded(FU71,$O$6,DV7,$O$2,DV23,$O$3,DV39,$O$4,DV55,$O$5,DV71,$O$6,$R$2)</f>
        <v>N/A</v>
      </c>
      <c r="FY71" s="5">
        <v>1</v>
      </c>
      <c r="FZ71" s="1">
        <f>IF($U$2=TRUE,SUM(FV71,FO71,FH71,FA71,ET71),"NO DATA")</f>
        <v>0</v>
      </c>
      <c r="GA71" s="21">
        <f>IF($U$2=TRUE,SUM(IF(CP25=$O$6,1,0),IF(CQ25=$O$6,1,0),IF(CR25=$O$6,1,0),IF(CS25=$O$6,1,0),IF(CT25=$O$6,1,0)),"NO DATA")</f>
        <v>0</v>
      </c>
      <c r="GB71" s="1" t="str">
        <f t="shared" ref="GB71:GB85" si="49">IF($T$2=TRUE,IF(AND(ISBLANK(AO25),CH25="Defence"),0,IF(NOT(CH25="Defence"),"",AO25)),"NODATA")</f>
        <v>NODATA</v>
      </c>
      <c r="GC71" s="13" t="str">
        <f>IF($T$2=TRUE,IF(AND(ISBLANK(AT25),CH25="Defence"),0,IF(NOT(CH25="Defence"),"",AT25)),"NODATA")</f>
        <v>NODATA</v>
      </c>
      <c r="GD71" s="1" t="str">
        <f>IF($T$2=TRUE,IF(AND(ISBLANK(AH25),CH25="Attack"),FALSE,IF(NOT(CH25="Attack"),"",AH25)),"NODATA")</f>
        <v>NODATA</v>
      </c>
      <c r="GE71" s="1" t="str">
        <f>IF($T$2=TRUE,IF(AND(ISBLANK(AG42),CH25="Attack"),2,IF(NOT(CH25="Attack"),"",AG42)),"NODATA")</f>
        <v>NODATA</v>
      </c>
      <c r="GF71" s="1" t="b" cm="1">
        <f t="array" ref="GF71">IF($V$2=TRUE,IF(CH25="Attack",ConvertToRoundTime(secandmin(CA25),secandmin(CJ25),CB25),""),"NO DATA")</f>
        <v>0</v>
      </c>
      <c r="GG71" s="1" t="b" cm="1">
        <f t="array" ref="GG71">IF($V$2=TRUE,IF(CH25="Attack",ConvertToRoundTime(secandmin(CC25),secandmin(CJ25),CD25),""),"NO DATA")</f>
        <v>0</v>
      </c>
    </row>
    <row r="72" spans="120:189" x14ac:dyDescent="0.25">
      <c r="DP72" s="37"/>
      <c r="DQ72" s="48" t="str">
        <f ca="1">A2</f>
        <v>8_22 Skyscraper_1</v>
      </c>
      <c r="DR72" s="4">
        <v>2</v>
      </c>
      <c r="DS72" s="1" t="str">
        <v>Attack</v>
      </c>
      <c r="DT72" s="1" t="str">
        <f t="shared" ref="DT72:DT85" si="50">$O$6</f>
        <v>Aggro</v>
      </c>
      <c r="DU72" s="1" t="str">
        <v>Jackal</v>
      </c>
      <c r="DV72" s="21" t="b" cm="1">
        <f t="array" ref="DV72">ConvertToRoundTime(secandmin(BI8),secandmin(CJ26),BJ8)</f>
        <v>0</v>
      </c>
      <c r="DW72" s="1" t="b">
        <v>0</v>
      </c>
      <c r="DX72" s="1" t="str" cm="1">
        <f t="array" ref="DX72">DeathRefragged(DV72,MAX(ES8,ES24,ES40,ES56,ES72,FA89),MAX(EZ8,EZ24,EZ40,EZ56,EZ72,FI89),MAX(FG8,FG24,FG40,FG56,FG72,FP89),MAX(FN8,FN24,FN40,FN56,FN72,FW89),MAX(FU8,FU24,FU40,FU56,FU72,GD89),$Q$2)</f>
        <v>N/A</v>
      </c>
      <c r="DY72" s="1" t="str" cm="1">
        <f t="array" ref="DY72">DeathTraded(DV72,DW72,MAX(ES8,ES24,ES40,ES56,ES72,FA89),getKiller(ER8,ER24,ER40,ER56,ER72,FA89),MAX(EZ8,EZ24,EZ40,EZ56,EZ72,FI89),getKiller(EY8,EY24,EY40,EY56,EY72,FH89),MAX(FG8,FG24,FG40,FG56,FG72,FP89),getKiller(FF8,FF24,FF40,FF56,FF72,FO89),MAX(FN8,FN24,FN40,FN56,FN72,FW89),getKiller(FU8,FU24,FU40,FU56,FU72,FV89),MAX(FU8,FU24,FU40,FU56,FU72,GD89),getKiller(FT8,FT24,FT40,FT56,FT72,GC89),$O$2)</f>
        <v>N/A</v>
      </c>
      <c r="DZ72" s="1" t="b">
        <v>0</v>
      </c>
      <c r="EA72" s="1" t="str">
        <v>NOLOC</v>
      </c>
      <c r="EB72" s="1" t="b" cm="1">
        <f t="array" ref="EB72">OpeningDeath(MAX(ES8,ES24,ES40,ES56,ES72),DV72,DV8,DV24,DV40,DV56)</f>
        <v>0</v>
      </c>
      <c r="EC72" s="1" t="b" cm="1">
        <f t="array" ref="EC72">EntryDeath(DV72,DV56,DV40,DV24,DV8)</f>
        <v>0</v>
      </c>
      <c r="ED72" s="4">
        <v>2</v>
      </c>
      <c r="EE72" s="1">
        <f t="shared" si="48"/>
        <v>2</v>
      </c>
      <c r="EF72" s="1">
        <f t="shared" ref="EF72:EF85" si="51">SUM(IF(EU72=TRUE,1,0),IF(FI72=TRUE,1,0),IF(FP72=TRUE,1,0),IF(FW72=TRUE,1,0),IF(FB72=TRUE,1,0))</f>
        <v>2</v>
      </c>
      <c r="EG72" s="1">
        <f t="shared" ref="EG72:EG85" si="52">SUM(IF(EQ72=TRUE,1,0),IF(FE72=TRUE,1,0),IF(FL72=TRUE,1,0),IF(FS72=TRUE,1,0),IF(EX72=TRUE,1,0))</f>
        <v>0</v>
      </c>
      <c r="EH72" s="1" cm="1">
        <f t="array" ref="EH72">ExitFrag(EN72,MAX(DV8,DV40,DV56,DV24),MAX(ES8,ES24,ES40,ES56,ES72,FA89),MAX(EZ8,EZ24,EZ40,EZ56,EZ72,FI89),MAX(FG8,FG24,FG40,FG56,FG72,FP89),MAX(FN8,FN24,FN40,FN56,FN72,FW89),MAX(FU8,FU24,FU40,FU56,FU72,GD89))</f>
        <v>0</v>
      </c>
      <c r="EI72" s="1" t="b" cm="1">
        <f t="array" ref="EI72">OpeningKill(ES72,ES56,ES40,ES24,ES8,FB89,DV8,DV24,DV40,DV56,DV72)</f>
        <v>1</v>
      </c>
      <c r="EJ72" s="1" t="b">
        <f t="shared" ref="EJ72:EJ85" si="53">IF(ES72=FALSE,FALSE,TRUE)</f>
        <v>1</v>
      </c>
      <c r="EK72" s="4">
        <v>2</v>
      </c>
      <c r="EL72" s="1" t="b">
        <v>0</v>
      </c>
      <c r="EM72" s="1" t="b" cm="1">
        <f t="array" ref="EM72">IF(NOT(ISBLANK(CP26)),KOST(EE72,DY72,DV72,EL72),"NOT PLAYED")</f>
        <v>1</v>
      </c>
      <c r="EN72" s="1" t="b" cm="1">
        <f t="array" ref="EN72">OneVX(DV8,DV24,DV40,DV56,DV72)</f>
        <v>0</v>
      </c>
      <c r="EO72" s="1" t="b">
        <f t="shared" ref="EO72:EO85" si="54">IF(AND(EN72=TRUE,CM26="Won"),TRUE,FALSE)</f>
        <v>0</v>
      </c>
      <c r="EP72" s="1" t="str" cm="1">
        <f t="array" ref="EP72:EU72">DetermineKill(ConvertToRoundTime(secandmin(BS8),secandmin(CJ26),BT8),BR8,BV8,BW8,BU8,BY8,BX8,$O$6)</f>
        <v>UNKNOWN</v>
      </c>
      <c r="EQ72" s="1" t="b">
        <v>0</v>
      </c>
      <c r="ER72" s="1" t="str">
        <v>Snipey</v>
      </c>
      <c r="ES72" s="1">
        <v>49</v>
      </c>
      <c r="ET72" s="1" t="b">
        <v>0</v>
      </c>
      <c r="EU72" s="1" t="b">
        <v>1</v>
      </c>
      <c r="EV72" s="1" t="b" cm="1">
        <f t="array" ref="EV72">DeathTraded(ES72,$O$6,DV8,$O$2,DV24,$O$3,DV40,$O$4,DV56,$O$5,DV72,$O$6,$R$2)</f>
        <v>0</v>
      </c>
      <c r="EW72" s="1" t="str" cm="1">
        <f t="array" ref="EW72:FB72">DetermineKill(ConvertToRoundTime(secandmin(CB8),secandmin(CJ26),CC8),CA8,CE8,CF8,CD8,CH8,CG8,$O$6)</f>
        <v>UNKNOWN</v>
      </c>
      <c r="EX72" s="1" t="b">
        <v>0</v>
      </c>
      <c r="EY72" s="1" t="str">
        <v>Kiru</v>
      </c>
      <c r="EZ72" s="1">
        <v>69</v>
      </c>
      <c r="FA72" s="1" t="b">
        <v>0</v>
      </c>
      <c r="FB72" s="1" t="b">
        <v>1</v>
      </c>
      <c r="FC72" s="1" t="b" cm="1">
        <f t="array" ref="FC72">DeathTraded(EZ72,$O$6,DV8,$O$2,DV24,$O$3,DV40,$O$4,DV56,$O$5,DV72,$O$6,$R$2)</f>
        <v>0</v>
      </c>
      <c r="FD72" s="1" t="str" cm="1">
        <f t="array" ref="FD72:FI72">DetermineKill(ConvertToRoundTime(secandmin(CK8),secandmin(CJ26),CL8),CJ8,CN8,CO8,CM8,CQ8,CP8,$O$6)</f>
        <v>NOLOC</v>
      </c>
      <c r="FE72" s="1" t="b">
        <v>0</v>
      </c>
      <c r="FF72" s="1" t="b">
        <v>0</v>
      </c>
      <c r="FG72" s="1" t="b">
        <v>0</v>
      </c>
      <c r="FH72" s="1" t="b">
        <v>0</v>
      </c>
      <c r="FI72" s="1" t="b">
        <v>0</v>
      </c>
      <c r="FJ72" s="1" t="str" cm="1">
        <f t="array" ref="FJ72">DeathTraded(FG72,$O$6,DV8,$O$2,DV24,$O$3,DV40,$O$4,DV56,$O$5,DV72,$O$6,$R$2)</f>
        <v>N/A</v>
      </c>
      <c r="FK72" s="1" t="str" cm="1">
        <f t="array" ref="FK72:FP72">DetermineKill(ConvertToRoundTime(secandmin(CT8),secandmin(CJ26),CU8),CS8,CW8,CX8,CV8,CZ8,CY8,$O$6)</f>
        <v>NOLOC</v>
      </c>
      <c r="FL72" s="1" t="b">
        <v>0</v>
      </c>
      <c r="FM72" s="1" t="b">
        <v>0</v>
      </c>
      <c r="FN72" s="1" t="b">
        <v>0</v>
      </c>
      <c r="FO72" s="1" t="b">
        <v>0</v>
      </c>
      <c r="FP72" s="1" t="b">
        <v>0</v>
      </c>
      <c r="FQ72" s="1" t="str" cm="1">
        <f t="array" ref="FQ72">DeathTraded(FN72,$O$6,DV8,$O$2,DV24,$O$3,DV40,$O$4,DV56,$O$5,DV72,$O$6,$R$2)</f>
        <v>N/A</v>
      </c>
      <c r="FR72" s="1" t="str" cm="1">
        <f t="array" ref="FR72:FW72">DetermineKill(ConvertToRoundTime(secandmin(DC8),secandmin(CJ26),DD8),DB8,DF8,DG8,DE8,DI8,DH8,$O$6)</f>
        <v>NOLOC</v>
      </c>
      <c r="FS72" s="1" t="b">
        <v>0</v>
      </c>
      <c r="FT72" s="1" t="b">
        <v>0</v>
      </c>
      <c r="FU72" s="1" t="b">
        <v>0</v>
      </c>
      <c r="FV72" s="1" t="b">
        <v>0</v>
      </c>
      <c r="FW72" s="1" t="b">
        <v>0</v>
      </c>
      <c r="FX72" s="1" t="str" cm="1">
        <f t="array" ref="FX72">DeathTraded(FU72,$O$6,DV8,$O$2,DV24,$O$3,DV40,$O$4,DV56,$O$5,DV72,$O$6,$R$2)</f>
        <v>N/A</v>
      </c>
      <c r="FY72" s="4">
        <v>2</v>
      </c>
      <c r="FZ72" s="1">
        <f t="shared" ref="FZ72:FZ85" si="55">IF($U$2=TRUE,SUM(FV72,FO72,FH72,FA72,ET72),"NO DATA")</f>
        <v>0</v>
      </c>
      <c r="GA72" s="21">
        <f t="shared" ref="GA72:GA85" si="56">IF($U$2=TRUE,SUM(IF(CP26=$O$6,1,0),IF(CQ26=$O$6,1,0),IF(CR26=$O$6,1,0),IF(CS26=$O$6,1,0),IF(CT26=$O$6,1,0)),"NO DATA")</f>
        <v>0</v>
      </c>
      <c r="GB72" s="1" t="str">
        <f t="shared" si="49"/>
        <v>NODATA</v>
      </c>
      <c r="GC72" s="13" t="str">
        <f t="shared" ref="GC72:GC85" si="57">IF($T$2=TRUE,IF(AND(ISBLANK(AT26),CH26="Defence"),0,IF(NOT(CH26="Defence"),"",AT26)),"NODATA")</f>
        <v>NODATA</v>
      </c>
      <c r="GD72" s="1" t="str">
        <f t="shared" ref="GD72:GD85" si="58">IF($T$2=TRUE,IF(AND(ISBLANK(AH26),CH26="Attack"),FALSE,IF(NOT(CH26="Attack"),"",AH26)),"NODATA")</f>
        <v>NODATA</v>
      </c>
      <c r="GE72" s="1" t="str">
        <f t="shared" ref="GE72:GE85" si="59">IF($T$2=TRUE,IF(AND(ISBLANK(AG43),CH26="Attack"),2,IF(NOT(CH26="Attack"),"",AG43)),"NODATA")</f>
        <v>NODATA</v>
      </c>
      <c r="GF72" s="1" t="b" cm="1">
        <f t="array" ref="GF72">IF($V$2=TRUE,IF(CH26="Attack",ConvertToRoundTime(secandmin(CA26),secandmin(CJ26),CB26),""),"NO DATA")</f>
        <v>0</v>
      </c>
      <c r="GG72" s="1" t="b" cm="1">
        <f t="array" ref="GG72">IF($V$2=TRUE,IF(CH26="Attack",ConvertToRoundTime(secandmin(CC26),secandmin(CJ26),CD26),""),"NO DATA")</f>
        <v>0</v>
      </c>
    </row>
    <row r="73" spans="120:189" x14ac:dyDescent="0.25">
      <c r="DP73" s="37"/>
      <c r="DQ73" s="48" t="str">
        <f ca="1">A2</f>
        <v>8_22 Skyscraper_1</v>
      </c>
      <c r="DR73" s="5">
        <v>3</v>
      </c>
      <c r="DS73" s="1" t="str">
        <v>Attack</v>
      </c>
      <c r="DT73" s="1" t="str">
        <f t="shared" si="50"/>
        <v>Aggro</v>
      </c>
      <c r="DU73" s="1" t="str">
        <v>Ace</v>
      </c>
      <c r="DV73" s="21" cm="1">
        <f t="array" ref="DV73">ConvertToRoundTime(secandmin(BI9),secandmin(CJ27),BJ9)</f>
        <v>158</v>
      </c>
      <c r="DW73" s="1" t="str">
        <v>Floofs</v>
      </c>
      <c r="DX73" s="1" t="b" cm="1">
        <f t="array" ref="DX73">DeathRefragged(DV73,MAX(ES9,ES25,ES41,ES57,ES73,FA90),MAX(EZ9,EZ25,EZ41,EZ57,EZ73,FI90),MAX(FG9,FG25,FG41,FG57,FG73,FP90),MAX(FN9,FN25,FN41,FN57,FN73,FW90),MAX(FU9,FU25,FU41,FU57,FU73,GD90),$Q$2)</f>
        <v>0</v>
      </c>
      <c r="DY73" s="1" t="b" cm="1">
        <f t="array" ref="DY73">DeathTraded(DV73,DW73,MAX(ES9,ES25,ES41,ES57,ES73,FA90),getKiller(ER9,ER25,ER41,ER57,ER73,FA90),MAX(EZ9,EZ25,EZ41,EZ57,EZ73,FI90),getKiller(EY9,EY25,EY41,EY57,EY73,FH90),MAX(FG9,FG25,FG41,FG57,FG73,FP90),getKiller(FF9,FF25,FF41,FF57,FF73,FO90),MAX(FN9,FN25,FN41,FN57,FN73,FW90),getKiller(FU9,FU25,FU41,FU57,FU73,FV90),MAX(FU9,FU25,FU41,FU57,FU73,GD90),getKiller(FT9,FT25,FT41,FT57,FT73,GC90),$O$2)</f>
        <v>0</v>
      </c>
      <c r="DZ73" s="1" t="b">
        <v>0</v>
      </c>
      <c r="EA73" s="1" t="str">
        <v>NOLOC</v>
      </c>
      <c r="EB73" s="1" t="b" cm="1">
        <f t="array" ref="EB73">OpeningDeath(MAX(ES9,ES25,ES41,ES57,ES73),DV73,DV9,DV25,DV41,DV57)</f>
        <v>0</v>
      </c>
      <c r="EC73" s="1" t="b" cm="1">
        <f t="array" ref="EC73">EntryDeath(DV73,DV57,DV41,DV25,DV9)</f>
        <v>0</v>
      </c>
      <c r="ED73" s="5">
        <v>3</v>
      </c>
      <c r="EE73" s="1">
        <f t="shared" si="48"/>
        <v>0</v>
      </c>
      <c r="EF73" s="1">
        <f t="shared" si="51"/>
        <v>0</v>
      </c>
      <c r="EG73" s="1">
        <f t="shared" si="52"/>
        <v>0</v>
      </c>
      <c r="EH73" s="1" cm="1">
        <f t="array" ref="EH73">ExitFrag(EN73,MAX(DV9,DV41,DV57,DV25),MAX(ES9,ES25,ES41,ES57,ES73,FA90),MAX(EZ9,EZ25,EZ41,EZ57,EZ73,FI90),MAX(FG9,FG25,FG41,FG57,FG73,FP90),MAX(FN9,FN25,FN41,FN57,FN73,FW90),MAX(FU9,FU25,FU41,FU57,FU73,GD90))</f>
        <v>0</v>
      </c>
      <c r="EI73" s="1" t="b" cm="1">
        <f t="array" ref="EI73">OpeningKill(ES73,ES57,ES41,ES25,ES9,FB90,DV9,DV25,DV41,DV57,DV73)</f>
        <v>0</v>
      </c>
      <c r="EJ73" s="1" t="b">
        <f t="shared" si="53"/>
        <v>0</v>
      </c>
      <c r="EK73" s="5">
        <v>3</v>
      </c>
      <c r="EL73" s="1" t="b">
        <v>0</v>
      </c>
      <c r="EM73" s="1" t="b" cm="1">
        <f t="array" ref="EM73">IF(NOT(ISBLANK(CP27)),KOST(EE73,DY73,DV73,EL73),"NOT PLAYED")</f>
        <v>0</v>
      </c>
      <c r="EN73" s="1" t="b" cm="1">
        <f t="array" ref="EN73">OneVX(DV9,DV25,DV41,DV57,DV73)</f>
        <v>0</v>
      </c>
      <c r="EO73" s="1" t="b">
        <f t="shared" si="54"/>
        <v>0</v>
      </c>
      <c r="EP73" s="1" t="str" cm="1">
        <f t="array" ref="EP73:EU73">DetermineKill(ConvertToRoundTime(secandmin(BS9),secandmin(CJ27),BT9),BR9,BV9,BW9,BU9,BY9,BX9,$O$6)</f>
        <v>NOLOC</v>
      </c>
      <c r="EQ73" s="1" t="b">
        <v>0</v>
      </c>
      <c r="ER73" s="1" t="b">
        <v>0</v>
      </c>
      <c r="ES73" s="1" t="b">
        <v>0</v>
      </c>
      <c r="ET73" s="1" t="b">
        <v>0</v>
      </c>
      <c r="EU73" s="1" t="b">
        <v>0</v>
      </c>
      <c r="EV73" s="1" t="str" cm="1">
        <f t="array" ref="EV73">DeathTraded(ES73,$O$6,DV9,$O$2,DV25,$O$3,DV41,$O$4,DV57,$O$5,DV73,$O$6,$R$2)</f>
        <v>N/A</v>
      </c>
      <c r="EW73" s="1" t="str" cm="1">
        <f t="array" ref="EW73:FB73">DetermineKill(ConvertToRoundTime(secandmin(CB9),secandmin(CJ27),CC9),CA9,CE9,CF9,CD9,CH9,CG9,$O$6)</f>
        <v>NOLOC</v>
      </c>
      <c r="EX73" s="1" t="b">
        <v>0</v>
      </c>
      <c r="EY73" s="1" t="b">
        <v>0</v>
      </c>
      <c r="EZ73" s="1" t="b">
        <v>0</v>
      </c>
      <c r="FA73" s="1" t="b">
        <v>0</v>
      </c>
      <c r="FB73" s="1" t="b">
        <v>0</v>
      </c>
      <c r="FC73" s="1" t="str" cm="1">
        <f t="array" ref="FC73">DeathTraded(EZ73,$O$6,DV9,$O$2,DV25,$O$3,DV41,$O$4,DV57,$O$5,DV73,$O$6,$R$2)</f>
        <v>N/A</v>
      </c>
      <c r="FD73" s="1" t="str" cm="1">
        <f t="array" ref="FD73:FI73">DetermineKill(ConvertToRoundTime(secandmin(CK9),secandmin(CJ27),CL9),CJ9,CN9,CO9,CM9,CQ9,CP9,$O$6)</f>
        <v>NOLOC</v>
      </c>
      <c r="FE73" s="1" t="b">
        <v>0</v>
      </c>
      <c r="FF73" s="1" t="b">
        <v>0</v>
      </c>
      <c r="FG73" s="1" t="b">
        <v>0</v>
      </c>
      <c r="FH73" s="1" t="b">
        <v>0</v>
      </c>
      <c r="FI73" s="1" t="b">
        <v>0</v>
      </c>
      <c r="FJ73" s="1" t="str" cm="1">
        <f t="array" ref="FJ73">DeathTraded(FG73,$O$6,DV9,$O$2,DV25,$O$3,DV41,$O$4,DV57,$O$5,DV73,$O$6,$R$2)</f>
        <v>N/A</v>
      </c>
      <c r="FK73" s="1" t="str" cm="1">
        <f t="array" ref="FK73:FP73">DetermineKill(ConvertToRoundTime(secandmin(CT9),secandmin(CJ27),CU9),CS9,CW9,CX9,CV9,CZ9,CY9,$O$6)</f>
        <v>NOLOC</v>
      </c>
      <c r="FL73" s="1" t="b">
        <v>0</v>
      </c>
      <c r="FM73" s="1" t="b">
        <v>0</v>
      </c>
      <c r="FN73" s="1" t="b">
        <v>0</v>
      </c>
      <c r="FO73" s="1" t="b">
        <v>0</v>
      </c>
      <c r="FP73" s="1" t="b">
        <v>0</v>
      </c>
      <c r="FQ73" s="1" t="str" cm="1">
        <f t="array" ref="FQ73">DeathTraded(FN73,$O$6,DV9,$O$2,DV25,$O$3,DV41,$O$4,DV57,$O$5,DV73,$O$6,$R$2)</f>
        <v>N/A</v>
      </c>
      <c r="FR73" s="1" t="str" cm="1">
        <f t="array" ref="FR73:FW73">DetermineKill(ConvertToRoundTime(secandmin(DC9),secandmin(CJ27),DD9),DB9,DF9,DG9,DE9,DI9,DH9,$O$6)</f>
        <v>NOLOC</v>
      </c>
      <c r="FS73" s="1" t="b">
        <v>0</v>
      </c>
      <c r="FT73" s="1" t="b">
        <v>0</v>
      </c>
      <c r="FU73" s="1" t="b">
        <v>0</v>
      </c>
      <c r="FV73" s="1" t="b">
        <v>0</v>
      </c>
      <c r="FW73" s="1" t="b">
        <v>0</v>
      </c>
      <c r="FX73" s="1" t="str" cm="1">
        <f t="array" ref="FX73">DeathTraded(FU73,$O$6,DV9,$O$2,DV25,$O$3,DV41,$O$4,DV57,$O$5,DV73,$O$6,$R$2)</f>
        <v>N/A</v>
      </c>
      <c r="FY73" s="5">
        <v>3</v>
      </c>
      <c r="FZ73" s="1">
        <f t="shared" si="55"/>
        <v>0</v>
      </c>
      <c r="GA73" s="21">
        <f t="shared" si="56"/>
        <v>0</v>
      </c>
      <c r="GB73" s="1" t="str">
        <f t="shared" si="49"/>
        <v>NODATA</v>
      </c>
      <c r="GC73" s="13" t="str">
        <f t="shared" si="57"/>
        <v>NODATA</v>
      </c>
      <c r="GD73" s="1" t="str">
        <f t="shared" si="58"/>
        <v>NODATA</v>
      </c>
      <c r="GE73" s="1" t="str">
        <f t="shared" si="59"/>
        <v>NODATA</v>
      </c>
      <c r="GF73" s="1" t="b" cm="1">
        <f t="array" ref="GF73">IF($V$2=TRUE,IF(CH27="Attack",ConvertToRoundTime(secandmin(CA27),secandmin(CJ27),CB27),""),"NO DATA")</f>
        <v>0</v>
      </c>
      <c r="GG73" s="1" t="b" cm="1">
        <f t="array" ref="GG73">IF($V$2=TRUE,IF(CH27="Attack",ConvertToRoundTime(secandmin(CC27),secandmin(CJ27),CD27),""),"NO DATA")</f>
        <v>0</v>
      </c>
    </row>
    <row r="74" spans="120:189" x14ac:dyDescent="0.25">
      <c r="DP74" s="37"/>
      <c r="DQ74" s="48" t="str">
        <f ca="1">A2</f>
        <v>8_22 Skyscraper_1</v>
      </c>
      <c r="DR74" s="4">
        <v>4</v>
      </c>
      <c r="DS74" s="1" t="str">
        <v>Attack</v>
      </c>
      <c r="DT74" s="1" t="str">
        <f t="shared" si="50"/>
        <v>Aggro</v>
      </c>
      <c r="DU74" s="1" t="str">
        <v>Jackal</v>
      </c>
      <c r="DV74" s="21" cm="1">
        <f t="array" ref="DV74">ConvertToRoundTime(secandmin(BI10),secandmin(CJ28),BJ10)</f>
        <v>16</v>
      </c>
      <c r="DW74" s="1" t="str">
        <v>Kiru</v>
      </c>
      <c r="DX74" s="1" t="b" cm="1">
        <f t="array" ref="DX74">DeathRefragged(DV74,MAX(ES10,ES26,ES42,ES58,ES74,FA91),MAX(EZ10,EZ26,EZ42,EZ58,EZ74,FI91),MAX(FG10,FG26,FG42,FG58,FG74,FP91),MAX(FN10,FN26,FN42,FN58,FN74,FW91),MAX(FU10,FU26,FU42,FU58,FU74,GD91),$Q$2)</f>
        <v>0</v>
      </c>
      <c r="DY74" s="1" t="b" cm="1">
        <f t="array" ref="DY74">DeathTraded(DV74,DW74,MAX(ES10,ES26,ES42,ES58,ES74,FA91),getKiller(ER10,ER26,ER42,ER58,ER74,FA91),MAX(EZ10,EZ26,EZ42,EZ58,EZ74,FI91),getKiller(EY10,EY26,EY42,EY58,EY74,FH91),MAX(FG10,FG26,FG42,FG58,FG74,FP91),getKiller(FF10,FF26,FF42,FF58,FF74,FO91),MAX(FN10,FN26,FN42,FN58,FN74,FW91),getKiller(FU10,FU26,FU42,FU58,FU74,FV91),MAX(FU10,FU26,FU42,FU58,FU74,GD91),getKiller(FT10,FT26,FT42,FT58,FT74,GC91),$O$2)</f>
        <v>1</v>
      </c>
      <c r="DZ74" s="1" t="b">
        <v>0</v>
      </c>
      <c r="EA74" s="1" t="str">
        <v>NOLOC</v>
      </c>
      <c r="EB74" s="1" t="b" cm="1">
        <f t="array" ref="EB74">OpeningDeath(MAX(ES10,ES26,ES42,ES58,ES74),DV74,DV10,DV26,DV42,DV58)</f>
        <v>1</v>
      </c>
      <c r="EC74" s="1" t="b" cm="1">
        <f t="array" ref="EC74">EntryDeath(DV74,DV58,DV42,DV26,DV10)</f>
        <v>1</v>
      </c>
      <c r="ED74" s="4">
        <v>4</v>
      </c>
      <c r="EE74" s="1">
        <f t="shared" si="48"/>
        <v>1</v>
      </c>
      <c r="EF74" s="1">
        <f t="shared" si="51"/>
        <v>1</v>
      </c>
      <c r="EG74" s="1">
        <f t="shared" si="52"/>
        <v>0</v>
      </c>
      <c r="EH74" s="1" cm="1">
        <f t="array" ref="EH74">ExitFrag(EN74,MAX(DV10,DV42,DV58,DV26),MAX(ES10,ES26,ES42,ES58,ES74,FA91),MAX(EZ10,EZ26,EZ42,EZ58,EZ74,FI91),MAX(FG10,FG26,FG42,FG58,FG74,FP91),MAX(FN10,FN26,FN42,FN58,FN74,FW91),MAX(FU10,FU26,FU42,FU58,FU74,GD91))</f>
        <v>0</v>
      </c>
      <c r="EI74" s="1" t="b" cm="1">
        <f t="array" ref="EI74">OpeningKill(ES74,ES58,ES42,ES26,ES10,FB91,DV10,DV26,DV42,DV58,DV74)</f>
        <v>0</v>
      </c>
      <c r="EJ74" s="1" t="b">
        <f t="shared" si="53"/>
        <v>0</v>
      </c>
      <c r="EK74" s="4">
        <v>4</v>
      </c>
      <c r="EL74" s="1" t="b">
        <v>0</v>
      </c>
      <c r="EM74" s="1" t="b" cm="1">
        <f t="array" ref="EM74">IF(NOT(ISBLANK(CP28)),KOST(EE74,DY74,DV74,EL74),"NOT PLAYED")</f>
        <v>1</v>
      </c>
      <c r="EN74" s="1" t="b" cm="1">
        <f t="array" ref="EN74">OneVX(DV10,DV26,DV42,DV58,DV74)</f>
        <v>0</v>
      </c>
      <c r="EO74" s="1" t="b">
        <f t="shared" si="54"/>
        <v>0</v>
      </c>
      <c r="EP74" s="1" t="str" cm="1">
        <f t="array" ref="EP74:EU74">DetermineKill(ConvertToRoundTime(secandmin(BS10),secandmin(CJ28),BT10),BR10,BV10,BW10,BU10,BY10,BX10,$O$6)</f>
        <v>NOLOC</v>
      </c>
      <c r="EQ74" s="1" t="b">
        <v>0</v>
      </c>
      <c r="ER74" s="1" t="b">
        <v>0</v>
      </c>
      <c r="ES74" s="1" t="b">
        <v>0</v>
      </c>
      <c r="ET74" s="1" t="b">
        <v>0</v>
      </c>
      <c r="EU74" s="1" t="b">
        <v>0</v>
      </c>
      <c r="EV74" s="1" t="str" cm="1">
        <f t="array" ref="EV74">DeathTraded(ES74,$O$6,DV10,$O$2,DV26,$O$3,DV42,$O$4,DV58,$O$5,DV74,$O$6,$R$2)</f>
        <v>N/A</v>
      </c>
      <c r="EW74" s="1" t="str" cm="1">
        <f t="array" ref="EW74:FB74">DetermineKill(ConvertToRoundTime(secandmin(CB10),secandmin(CJ28),CC10),CA10,CE10,CF10,CD10,CH10,CG10,$O$6)</f>
        <v>UNKNOWN</v>
      </c>
      <c r="EX74" s="1" t="b">
        <v>0</v>
      </c>
      <c r="EY74" s="1" t="str">
        <v>Kouiyn</v>
      </c>
      <c r="EZ74" s="1">
        <v>113</v>
      </c>
      <c r="FA74" s="1" t="b">
        <v>0</v>
      </c>
      <c r="FB74" s="1" t="b">
        <v>1</v>
      </c>
      <c r="FC74" s="1" t="b" cm="1">
        <f t="array" ref="FC74">DeathTraded(EZ74,$O$6,DV10,$O$2,DV26,$O$3,DV42,$O$4,DV58,$O$5,DV74,$O$6,$R$2)</f>
        <v>0</v>
      </c>
      <c r="FD74" s="1" t="str" cm="1">
        <f t="array" ref="FD74:FI74">DetermineKill(ConvertToRoundTime(secandmin(CK10),secandmin(CJ28),CL10),CJ10,CN10,CO10,CM10,CQ10,CP10,$O$6)</f>
        <v>NOLOC</v>
      </c>
      <c r="FE74" s="1" t="b">
        <v>0</v>
      </c>
      <c r="FF74" s="1" t="b">
        <v>0</v>
      </c>
      <c r="FG74" s="1" t="b">
        <v>0</v>
      </c>
      <c r="FH74" s="1" t="b">
        <v>0</v>
      </c>
      <c r="FI74" s="1" t="b">
        <v>0</v>
      </c>
      <c r="FJ74" s="1" t="str" cm="1">
        <f t="array" ref="FJ74">DeathTraded(FG74,$O$6,DV10,$O$2,DV26,$O$3,DV42,$O$4,DV58,$O$5,DV74,$O$6,$R$2)</f>
        <v>N/A</v>
      </c>
      <c r="FK74" s="1" t="str" cm="1">
        <f t="array" ref="FK74:FP74">DetermineKill(ConvertToRoundTime(secandmin(CT10),secandmin(CJ28),CU10),CS10,CW10,CX10,CV10,CZ10,CY10,$O$6)</f>
        <v>NOLOC</v>
      </c>
      <c r="FL74" s="1" t="b">
        <v>0</v>
      </c>
      <c r="FM74" s="1" t="b">
        <v>0</v>
      </c>
      <c r="FN74" s="1" t="b">
        <v>0</v>
      </c>
      <c r="FO74" s="1" t="b">
        <v>0</v>
      </c>
      <c r="FP74" s="1" t="b">
        <v>0</v>
      </c>
      <c r="FQ74" s="1" t="str" cm="1">
        <f t="array" ref="FQ74">DeathTraded(FN74,$O$6,DV10,$O$2,DV26,$O$3,DV42,$O$4,DV58,$O$5,DV74,$O$6,$R$2)</f>
        <v>N/A</v>
      </c>
      <c r="FR74" s="1" t="str" cm="1">
        <f t="array" ref="FR74:FW74">DetermineKill(ConvertToRoundTime(secandmin(DC10),secandmin(CJ28),DD10),DB10,DF10,DG10,DE10,DI10,DH10,$O$6)</f>
        <v>NOLOC</v>
      </c>
      <c r="FS74" s="1" t="b">
        <v>0</v>
      </c>
      <c r="FT74" s="1" t="b">
        <v>0</v>
      </c>
      <c r="FU74" s="1" t="b">
        <v>0</v>
      </c>
      <c r="FV74" s="1" t="b">
        <v>0</v>
      </c>
      <c r="FW74" s="1" t="b">
        <v>0</v>
      </c>
      <c r="FX74" s="1" t="str" cm="1">
        <f t="array" ref="FX74">DeathTraded(FU74,$O$6,DV10,$O$2,DV26,$O$3,DV42,$O$4,DV58,$O$5,DV74,$O$6,$R$2)</f>
        <v>N/A</v>
      </c>
      <c r="FY74" s="4">
        <v>4</v>
      </c>
      <c r="FZ74" s="1">
        <f t="shared" si="55"/>
        <v>0</v>
      </c>
      <c r="GA74" s="21">
        <f t="shared" si="56"/>
        <v>0</v>
      </c>
      <c r="GB74" s="1" t="str">
        <f t="shared" si="49"/>
        <v>NODATA</v>
      </c>
      <c r="GC74" s="13" t="str">
        <f t="shared" si="57"/>
        <v>NODATA</v>
      </c>
      <c r="GD74" s="1" t="str">
        <f t="shared" si="58"/>
        <v>NODATA</v>
      </c>
      <c r="GE74" s="1" t="str">
        <f t="shared" si="59"/>
        <v>NODATA</v>
      </c>
      <c r="GF74" s="1" t="b" cm="1">
        <f t="array" ref="GF74">IF($V$2=TRUE,IF(CH28="Attack",ConvertToRoundTime(secandmin(CA28),secandmin(CJ28),CB28),""),"NO DATA")</f>
        <v>0</v>
      </c>
      <c r="GG74" s="1" t="b" cm="1">
        <f t="array" ref="GG74">IF($V$2=TRUE,IF(CH28="Attack",ConvertToRoundTime(secandmin(CC28),secandmin(CJ28),CD28),""),"NO DATA")</f>
        <v>0</v>
      </c>
    </row>
    <row r="75" spans="120:189" x14ac:dyDescent="0.25">
      <c r="DP75" s="37"/>
      <c r="DQ75" s="48" t="str">
        <f ca="1">A2</f>
        <v>8_22 Skyscraper_1</v>
      </c>
      <c r="DR75" s="5">
        <v>5</v>
      </c>
      <c r="DS75" s="1" t="str">
        <v>Attack</v>
      </c>
      <c r="DT75" s="1" t="str">
        <f t="shared" si="50"/>
        <v>Aggro</v>
      </c>
      <c r="DU75" s="1" t="str">
        <v>Nokk</v>
      </c>
      <c r="DV75" s="21" cm="1">
        <f t="array" ref="DV75">ConvertToRoundTime(secandmin(BI11),secandmin(CJ29),BJ11)</f>
        <v>142</v>
      </c>
      <c r="DW75" s="1" t="str">
        <v>Floofs</v>
      </c>
      <c r="DX75" s="1" t="b" cm="1">
        <f t="array" ref="DX75">DeathRefragged(DV75,MAX(ES11,ES27,ES43,ES59,ES75,FA92),MAX(EZ11,EZ27,EZ43,EZ59,EZ75,FI92),MAX(FG11,FG27,FG43,FG59,FG75,FP92),MAX(FN11,FN27,FN43,FN59,FN75,FW92),MAX(FU11,FU27,FU43,FU59,FU75,GD92),$Q$2)</f>
        <v>0</v>
      </c>
      <c r="DY75" s="1" t="b" cm="1">
        <f t="array" ref="DY75">DeathTraded(DV75,DW75,MAX(ES11,ES27,ES43,ES59,ES75,FA92),getKiller(ER11,ER27,ER43,ER59,ER75,FA92),MAX(EZ11,EZ27,EZ43,EZ59,EZ75,FI92),getKiller(EY11,EY27,EY43,EY59,EY75,FH92),MAX(FG11,FG27,FG43,FG59,FG75,FP92),getKiller(FF11,FF27,FF43,FF59,FF75,FO92),MAX(FN11,FN27,FN43,FN59,FN75,FW92),getKiller(FU11,FU27,FU43,FU59,FU75,FV92),MAX(FU11,FU27,FU43,FU59,FU75,GD92),getKiller(FT11,FT27,FT43,FT59,FT75,GC92),$O$2)</f>
        <v>0</v>
      </c>
      <c r="DZ75" s="1" t="b">
        <v>0</v>
      </c>
      <c r="EA75" s="1" t="str">
        <v>NOLOC</v>
      </c>
      <c r="EB75" s="1" t="b" cm="1">
        <f t="array" ref="EB75">OpeningDeath(MAX(ES11,ES27,ES43,ES59,ES75),DV75,DV11,DV27,DV43,DV59)</f>
        <v>0</v>
      </c>
      <c r="EC75" s="1" t="b" cm="1">
        <f t="array" ref="EC75">EntryDeath(DV75,DV59,DV43,DV27,DV11)</f>
        <v>0</v>
      </c>
      <c r="ED75" s="5">
        <v>5</v>
      </c>
      <c r="EE75" s="1">
        <f t="shared" si="48"/>
        <v>0</v>
      </c>
      <c r="EF75" s="1">
        <f t="shared" si="51"/>
        <v>0</v>
      </c>
      <c r="EG75" s="1">
        <f t="shared" si="52"/>
        <v>0</v>
      </c>
      <c r="EH75" s="1" cm="1">
        <f t="array" ref="EH75">ExitFrag(EN75,MAX(DV11,DV43,DV59,DV27),MAX(ES11,ES27,ES43,ES59,ES75,FA92),MAX(EZ11,EZ27,EZ43,EZ59,EZ75,FI92),MAX(FG11,FG27,FG43,FG59,FG75,FP92),MAX(FN11,FN27,FN43,FN59,FN75,FW92),MAX(FU11,FU27,FU43,FU59,FU75,GD92))</f>
        <v>0</v>
      </c>
      <c r="EI75" s="1" t="b" cm="1">
        <f t="array" ref="EI75">OpeningKill(ES75,ES59,ES43,ES27,ES11,FB92,DV11,DV27,DV43,DV59,DV75)</f>
        <v>0</v>
      </c>
      <c r="EJ75" s="1" t="b">
        <f t="shared" si="53"/>
        <v>0</v>
      </c>
      <c r="EK75" s="5">
        <v>5</v>
      </c>
      <c r="EL75" s="1" t="b">
        <v>0</v>
      </c>
      <c r="EM75" s="1" t="b" cm="1">
        <f t="array" ref="EM75">IF(NOT(ISBLANK(CP29)),KOST(EE75,DY75,DV75,EL75),"NOT PLAYED")</f>
        <v>0</v>
      </c>
      <c r="EN75" s="1" t="b" cm="1">
        <f t="array" ref="EN75">OneVX(DV11,DV27,DV43,DV59,DV75)</f>
        <v>0</v>
      </c>
      <c r="EO75" s="1" t="b">
        <f t="shared" si="54"/>
        <v>0</v>
      </c>
      <c r="EP75" s="1" t="str" cm="1">
        <f t="array" ref="EP75:EU75">DetermineKill(ConvertToRoundTime(secandmin(BS11),secandmin(CJ29),BT11),BR11,BV11,BW11,BU11,BY11,BX11,$O$6)</f>
        <v>NOLOC</v>
      </c>
      <c r="EQ75" s="1" t="b">
        <v>0</v>
      </c>
      <c r="ER75" s="1" t="b">
        <v>0</v>
      </c>
      <c r="ES75" s="1" t="b">
        <v>0</v>
      </c>
      <c r="ET75" s="1" t="b">
        <v>0</v>
      </c>
      <c r="EU75" s="1" t="b">
        <v>0</v>
      </c>
      <c r="EV75" s="1" t="str" cm="1">
        <f t="array" ref="EV75">DeathTraded(ES75,$O$6,DV11,$O$2,DV27,$O$3,DV43,$O$4,DV59,$O$5,DV75,$O$6,$R$2)</f>
        <v>N/A</v>
      </c>
      <c r="EW75" s="1" t="str" cm="1">
        <f t="array" ref="EW75:FB75">DetermineKill(ConvertToRoundTime(secandmin(CB11),secandmin(CJ29),CC11),CA11,CE11,CF11,CD11,CH11,CG11,$O$6)</f>
        <v>NOLOC</v>
      </c>
      <c r="EX75" s="1" t="b">
        <v>0</v>
      </c>
      <c r="EY75" s="1" t="b">
        <v>0</v>
      </c>
      <c r="EZ75" s="1" t="b">
        <v>0</v>
      </c>
      <c r="FA75" s="1" t="b">
        <v>0</v>
      </c>
      <c r="FB75" s="1" t="b">
        <v>0</v>
      </c>
      <c r="FC75" s="1" t="str" cm="1">
        <f t="array" ref="FC75">DeathTraded(EZ75,$O$6,DV11,$O$2,DV27,$O$3,DV43,$O$4,DV59,$O$5,DV75,$O$6,$R$2)</f>
        <v>N/A</v>
      </c>
      <c r="FD75" s="1" t="str" cm="1">
        <f t="array" ref="FD75:FI75">DetermineKill(ConvertToRoundTime(secandmin(CK11),secandmin(CJ29),CL11),CJ11,CN11,CO11,CM11,CQ11,CP11,$O$6)</f>
        <v>NOLOC</v>
      </c>
      <c r="FE75" s="1" t="b">
        <v>0</v>
      </c>
      <c r="FF75" s="1" t="b">
        <v>0</v>
      </c>
      <c r="FG75" s="1" t="b">
        <v>0</v>
      </c>
      <c r="FH75" s="1" t="b">
        <v>0</v>
      </c>
      <c r="FI75" s="1" t="b">
        <v>0</v>
      </c>
      <c r="FJ75" s="1" t="str" cm="1">
        <f t="array" ref="FJ75">DeathTraded(FG75,$O$6,DV11,$O$2,DV27,$O$3,DV43,$O$4,DV59,$O$5,DV75,$O$6,$R$2)</f>
        <v>N/A</v>
      </c>
      <c r="FK75" s="1" t="str" cm="1">
        <f t="array" ref="FK75:FP75">DetermineKill(ConvertToRoundTime(secandmin(CT11),secandmin(CJ29),CU11),CS11,CW11,CX11,CV11,CZ11,CY11,$O$6)</f>
        <v>NOLOC</v>
      </c>
      <c r="FL75" s="1" t="b">
        <v>0</v>
      </c>
      <c r="FM75" s="1" t="b">
        <v>0</v>
      </c>
      <c r="FN75" s="1" t="b">
        <v>0</v>
      </c>
      <c r="FO75" s="1" t="b">
        <v>0</v>
      </c>
      <c r="FP75" s="1" t="b">
        <v>0</v>
      </c>
      <c r="FQ75" s="1" t="str" cm="1">
        <f t="array" ref="FQ75">DeathTraded(FN75,$O$6,DV11,$O$2,DV27,$O$3,DV43,$O$4,DV59,$O$5,DV75,$O$6,$R$2)</f>
        <v>N/A</v>
      </c>
      <c r="FR75" s="1" t="str" cm="1">
        <f t="array" ref="FR75:FW75">DetermineKill(ConvertToRoundTime(secandmin(DC11),secandmin(CJ29),DD11),DB11,DF11,DG11,DE11,DI11,DH11,$O$6)</f>
        <v>NOLOC</v>
      </c>
      <c r="FS75" s="1" t="b">
        <v>0</v>
      </c>
      <c r="FT75" s="1" t="b">
        <v>0</v>
      </c>
      <c r="FU75" s="1" t="b">
        <v>0</v>
      </c>
      <c r="FV75" s="1" t="b">
        <v>0</v>
      </c>
      <c r="FW75" s="1" t="b">
        <v>0</v>
      </c>
      <c r="FX75" s="1" t="str" cm="1">
        <f t="array" ref="FX75">DeathTraded(FU75,$O$6,DV11,$O$2,DV27,$O$3,DV43,$O$4,DV59,$O$5,DV75,$O$6,$R$2)</f>
        <v>N/A</v>
      </c>
      <c r="FY75" s="5">
        <v>5</v>
      </c>
      <c r="FZ75" s="1">
        <f t="shared" si="55"/>
        <v>0</v>
      </c>
      <c r="GA75" s="21">
        <f t="shared" si="56"/>
        <v>0</v>
      </c>
      <c r="GB75" s="1" t="str">
        <f t="shared" si="49"/>
        <v>NODATA</v>
      </c>
      <c r="GC75" s="13" t="str">
        <f t="shared" si="57"/>
        <v>NODATA</v>
      </c>
      <c r="GD75" s="1" t="str">
        <f t="shared" si="58"/>
        <v>NODATA</v>
      </c>
      <c r="GE75" s="1" t="str">
        <f t="shared" si="59"/>
        <v>NODATA</v>
      </c>
      <c r="GF75" s="1" t="b" cm="1">
        <f t="array" ref="GF75">IF($V$2=TRUE,IF(CH29="Attack",ConvertToRoundTime(secandmin(CA29),secandmin(CJ29),CB29),""),"NO DATA")</f>
        <v>0</v>
      </c>
      <c r="GG75" s="1" t="b" cm="1">
        <f t="array" ref="GG75">IF($V$2=TRUE,IF(CH29="Attack",ConvertToRoundTime(secandmin(CC29),secandmin(CJ29),CD29),""),"NO DATA")</f>
        <v>0</v>
      </c>
    </row>
    <row r="76" spans="120:189" x14ac:dyDescent="0.25">
      <c r="DP76" s="37"/>
      <c r="DQ76" s="48" t="str">
        <f ca="1">A2</f>
        <v>8_22 Skyscraper_1</v>
      </c>
      <c r="DR76" s="4">
        <v>6</v>
      </c>
      <c r="DS76" s="1" t="str">
        <v>Attack</v>
      </c>
      <c r="DT76" s="1" t="str">
        <f t="shared" si="50"/>
        <v>Aggro</v>
      </c>
      <c r="DU76" s="1" t="str">
        <v>Buck</v>
      </c>
      <c r="DV76" s="21" cm="1">
        <f t="array" ref="DV76">ConvertToRoundTime(secandmin(BI12),secandmin(CJ30),BJ12)</f>
        <v>80</v>
      </c>
      <c r="DW76" s="1" t="str">
        <v>Floofs</v>
      </c>
      <c r="DX76" s="1" t="b" cm="1">
        <f t="array" ref="DX76">DeathRefragged(DV76,MAX(ES12,ES28,ES44,ES60,ES76,FA93),MAX(EZ12,EZ28,EZ44,EZ60,EZ76,FI93),MAX(FG12,FG28,FG44,FG60,FG76,FP93),MAX(FN12,FN28,FN44,FN60,FN76,FW93),MAX(FU12,FU28,FU44,FU60,FU76,GD93),$Q$2)</f>
        <v>0</v>
      </c>
      <c r="DY76" s="1" t="b" cm="1">
        <f t="array" ref="DY76">DeathTraded(DV76,DW76,MAX(ES12,ES28,ES44,ES60,ES76,FA93),getKiller(ER12,ER28,ER44,ER60,ER76,FA93),MAX(EZ12,EZ28,EZ44,EZ60,EZ76,FI93),getKiller(EY12,EY28,EY44,EY60,EY76,FH93),MAX(FG12,FG28,FG44,FG60,FG76,FP93),getKiller(FF12,FF28,FF44,FF60,FF76,FO93),MAX(FN12,FN28,FN44,FN60,FN76,FW93),getKiller(FU12,FU28,FU44,FU60,FU76,FV93),MAX(FU12,FU28,FU44,FU60,FU76,GD93),getKiller(FT12,FT28,FT44,FT60,FT76,GC93),$O$2)</f>
        <v>0</v>
      </c>
      <c r="DZ76" s="1" t="b">
        <v>0</v>
      </c>
      <c r="EA76" s="1" t="str">
        <v>NOLOC</v>
      </c>
      <c r="EB76" s="1" t="b" cm="1">
        <f t="array" ref="EB76">OpeningDeath(MAX(ES12,ES28,ES44,ES60,ES76),DV76,DV12,DV28,DV44,DV60)</f>
        <v>0</v>
      </c>
      <c r="EC76" s="1" t="b" cm="1">
        <f t="array" ref="EC76">EntryDeath(DV76,DV60,DV44,DV28,DV12)</f>
        <v>1</v>
      </c>
      <c r="ED76" s="4">
        <v>6</v>
      </c>
      <c r="EE76" s="1">
        <f t="shared" si="48"/>
        <v>0</v>
      </c>
      <c r="EF76" s="1">
        <f t="shared" si="51"/>
        <v>0</v>
      </c>
      <c r="EG76" s="1">
        <f t="shared" si="52"/>
        <v>0</v>
      </c>
      <c r="EH76" s="1" cm="1">
        <f t="array" ref="EH76">ExitFrag(EN76,MAX(DV12,DV44,DV60,DV28),MAX(ES12,ES28,ES44,ES60,ES76,FA93),MAX(EZ12,EZ28,EZ44,EZ60,EZ76,FI93),MAX(FG12,FG28,FG44,FG60,FG76,FP93),MAX(FN12,FN28,FN44,FN60,FN76,FW93),MAX(FU12,FU28,FU44,FU60,FU76,GD93))</f>
        <v>0</v>
      </c>
      <c r="EI76" s="1" t="b" cm="1">
        <f t="array" ref="EI76">OpeningKill(ES76,ES60,ES44,ES28,ES12,FB93,DV12,DV28,DV44,DV60,DV76)</f>
        <v>0</v>
      </c>
      <c r="EJ76" s="1" t="b">
        <f t="shared" si="53"/>
        <v>0</v>
      </c>
      <c r="EK76" s="4">
        <v>6</v>
      </c>
      <c r="EL76" s="1" t="b">
        <v>0</v>
      </c>
      <c r="EM76" s="1" t="b" cm="1">
        <f t="array" ref="EM76">IF(NOT(ISBLANK(CP30)),KOST(EE76,DY76,DV76,EL76),"NOT PLAYED")</f>
        <v>0</v>
      </c>
      <c r="EN76" s="1" t="b" cm="1">
        <f t="array" ref="EN76">OneVX(DV12,DV28,DV44,DV60,DV76)</f>
        <v>0</v>
      </c>
      <c r="EO76" s="1" t="b">
        <f t="shared" si="54"/>
        <v>0</v>
      </c>
      <c r="EP76" s="1" t="str" cm="1">
        <f t="array" ref="EP76:EU76">DetermineKill(ConvertToRoundTime(secandmin(BS12),secandmin(CJ30),BT12),BR12,BV12,BW12,BU12,BY12,BX12,$O$6)</f>
        <v>NOLOC</v>
      </c>
      <c r="EQ76" s="1" t="b">
        <v>0</v>
      </c>
      <c r="ER76" s="1" t="b">
        <v>0</v>
      </c>
      <c r="ES76" s="1" t="b">
        <v>0</v>
      </c>
      <c r="ET76" s="1" t="b">
        <v>0</v>
      </c>
      <c r="EU76" s="1" t="b">
        <v>0</v>
      </c>
      <c r="EV76" s="1" t="str" cm="1">
        <f t="array" ref="EV76">DeathTraded(ES76,$O$6,DV12,$O$2,DV28,$O$3,DV44,$O$4,DV60,$O$5,DV76,$O$6,$R$2)</f>
        <v>N/A</v>
      </c>
      <c r="EW76" s="1" t="str" cm="1">
        <f t="array" ref="EW76:FB76">DetermineKill(ConvertToRoundTime(secandmin(CB12),secandmin(CJ30),CC12),CA12,CE12,CF12,CD12,CH12,CG12,$O$6)</f>
        <v>NOLOC</v>
      </c>
      <c r="EX76" s="1" t="b">
        <v>0</v>
      </c>
      <c r="EY76" s="1" t="b">
        <v>0</v>
      </c>
      <c r="EZ76" s="1" t="b">
        <v>0</v>
      </c>
      <c r="FA76" s="1" t="b">
        <v>0</v>
      </c>
      <c r="FB76" s="1" t="b">
        <v>0</v>
      </c>
      <c r="FC76" s="1" t="str" cm="1">
        <f t="array" ref="FC76">DeathTraded(EZ76,$O$6,DV12,$O$2,DV28,$O$3,DV44,$O$4,DV60,$O$5,DV76,$O$6,$R$2)</f>
        <v>N/A</v>
      </c>
      <c r="FD76" s="1" t="str" cm="1">
        <f t="array" ref="FD76:FI76">DetermineKill(ConvertToRoundTime(secandmin(CK12),secandmin(CJ30),CL12),CJ12,CN12,CO12,CM12,CQ12,CP12,$O$6)</f>
        <v>NOLOC</v>
      </c>
      <c r="FE76" s="1" t="b">
        <v>0</v>
      </c>
      <c r="FF76" s="1" t="b">
        <v>0</v>
      </c>
      <c r="FG76" s="1" t="b">
        <v>0</v>
      </c>
      <c r="FH76" s="1" t="b">
        <v>0</v>
      </c>
      <c r="FI76" s="1" t="b">
        <v>0</v>
      </c>
      <c r="FJ76" s="1" t="str" cm="1">
        <f t="array" ref="FJ76">DeathTraded(FG76,$O$6,DV12,$O$2,DV28,$O$3,DV44,$O$4,DV60,$O$5,DV76,$O$6,$R$2)</f>
        <v>N/A</v>
      </c>
      <c r="FK76" s="1" t="str" cm="1">
        <f t="array" ref="FK76:FP76">DetermineKill(ConvertToRoundTime(secandmin(CT12),secandmin(CJ30),CU12),CS12,CW12,CX12,CV12,CZ12,CY12,$O$6)</f>
        <v>NOLOC</v>
      </c>
      <c r="FL76" s="1" t="b">
        <v>0</v>
      </c>
      <c r="FM76" s="1" t="b">
        <v>0</v>
      </c>
      <c r="FN76" s="1" t="b">
        <v>0</v>
      </c>
      <c r="FO76" s="1" t="b">
        <v>0</v>
      </c>
      <c r="FP76" s="1" t="b">
        <v>0</v>
      </c>
      <c r="FQ76" s="1" t="str" cm="1">
        <f t="array" ref="FQ76">DeathTraded(FN76,$O$6,DV12,$O$2,DV28,$O$3,DV44,$O$4,DV60,$O$5,DV76,$O$6,$R$2)</f>
        <v>N/A</v>
      </c>
      <c r="FR76" s="1" t="str" cm="1">
        <f t="array" ref="FR76:FW76">DetermineKill(ConvertToRoundTime(secandmin(DC12),secandmin(CJ30),DD12),DB12,DF12,DG12,DE12,DI12,DH12,$O$6)</f>
        <v>NOLOC</v>
      </c>
      <c r="FS76" s="1" t="b">
        <v>0</v>
      </c>
      <c r="FT76" s="1" t="b">
        <v>0</v>
      </c>
      <c r="FU76" s="1" t="b">
        <v>0</v>
      </c>
      <c r="FV76" s="1" t="b">
        <v>0</v>
      </c>
      <c r="FW76" s="1" t="b">
        <v>0</v>
      </c>
      <c r="FX76" s="1" t="str" cm="1">
        <f t="array" ref="FX76">DeathTraded(FU76,$O$6,DV12,$O$2,DV28,$O$3,DV44,$O$4,DV60,$O$5,DV76,$O$6,$R$2)</f>
        <v>N/A</v>
      </c>
      <c r="FY76" s="4">
        <v>6</v>
      </c>
      <c r="FZ76" s="1">
        <f t="shared" si="55"/>
        <v>0</v>
      </c>
      <c r="GA76" s="21">
        <f t="shared" si="56"/>
        <v>0</v>
      </c>
      <c r="GB76" s="1" t="str">
        <f t="shared" si="49"/>
        <v>NODATA</v>
      </c>
      <c r="GC76" s="13" t="str">
        <f t="shared" si="57"/>
        <v>NODATA</v>
      </c>
      <c r="GD76" s="1" t="str">
        <f t="shared" si="58"/>
        <v>NODATA</v>
      </c>
      <c r="GE76" s="1" t="str">
        <f t="shared" si="59"/>
        <v>NODATA</v>
      </c>
      <c r="GF76" s="1" t="b" cm="1">
        <f t="array" ref="GF76">IF($V$2=TRUE,IF(CH30="Attack",ConvertToRoundTime(secandmin(CA30),secandmin(CJ30),CB30),""),"NO DATA")</f>
        <v>0</v>
      </c>
      <c r="GG76" s="1" t="b" cm="1">
        <f t="array" ref="GG76">IF($V$2=TRUE,IF(CH30="Attack",ConvertToRoundTime(secandmin(CC30),secandmin(CJ30),CD30),""),"NO DATA")</f>
        <v>0</v>
      </c>
    </row>
    <row r="77" spans="120:189" x14ac:dyDescent="0.25">
      <c r="DP77" s="37"/>
      <c r="DQ77" s="48" t="str">
        <f ca="1">A2</f>
        <v>8_22 Skyscraper_1</v>
      </c>
      <c r="DR77" s="5">
        <v>7</v>
      </c>
      <c r="DS77" s="1" t="str">
        <v>Defense</v>
      </c>
      <c r="DT77" s="1" t="str">
        <f t="shared" si="50"/>
        <v>Aggro</v>
      </c>
      <c r="DU77" s="1" t="str">
        <v>Jager</v>
      </c>
      <c r="DV77" s="21" cm="1">
        <f t="array" ref="DV77">ConvertToRoundTime(secandmin(BI13),secandmin(CJ31),BJ13)</f>
        <v>158</v>
      </c>
      <c r="DW77" s="1" t="str">
        <v>Kiru</v>
      </c>
      <c r="DX77" s="1" t="b" cm="1">
        <f t="array" ref="DX77">DeathRefragged(DV77,MAX(ES13,ES29,ES45,ES61,ES77,FA94),MAX(EZ13,EZ29,EZ45,EZ61,EZ77,FI94),MAX(FG13,FG29,FG45,FG61,FG77,FP94),MAX(FN13,FN29,FN45,FN61,FN77,FW94),MAX(FU13,FU29,FU45,FU61,FU77,GD94),$Q$2)</f>
        <v>0</v>
      </c>
      <c r="DY77" s="1" t="b" cm="1">
        <f t="array" ref="DY77">DeathTraded(DV77,DW77,MAX(ES13,ES29,ES45,ES61,ES77,FA94),getKiller(ER13,ER29,ER45,ER61,ER77,FA94),MAX(EZ13,EZ29,EZ45,EZ61,EZ77,FI94),getKiller(EY13,EY29,EY45,EY61,EY77,FH94),MAX(FG13,FG29,FG45,FG61,FG77,FP94),getKiller(FF13,FF29,FF45,FF61,FF77,FO94),MAX(FN13,FN29,FN45,FN61,FN77,FW94),getKiller(FU13,FU29,FU45,FU61,FU77,FV94),MAX(FU13,FU29,FU45,FU61,FU77,GD94),getKiller(FT13,FT29,FT45,FT61,FT77,GC94),$O$2)</f>
        <v>1</v>
      </c>
      <c r="DZ77" s="1" t="b">
        <v>0</v>
      </c>
      <c r="EA77" s="1" t="str">
        <v>NOLOC</v>
      </c>
      <c r="EB77" s="1" t="b" cm="1">
        <f t="array" ref="EB77">OpeningDeath(MAX(ES13,ES29,ES45,ES61,ES77),DV77,DV13,DV29,DV45,DV61)</f>
        <v>0</v>
      </c>
      <c r="EC77" s="1" t="b" cm="1">
        <f t="array" ref="EC77">EntryDeath(DV77,DV61,DV45,DV29,DV13)</f>
        <v>0</v>
      </c>
      <c r="ED77" s="5">
        <v>7</v>
      </c>
      <c r="EE77" s="1">
        <f t="shared" si="48"/>
        <v>1</v>
      </c>
      <c r="EF77" s="1">
        <f t="shared" si="51"/>
        <v>0</v>
      </c>
      <c r="EG77" s="1">
        <f t="shared" si="52"/>
        <v>0</v>
      </c>
      <c r="EH77" s="1" cm="1">
        <f t="array" ref="EH77">ExitFrag(EN77,MAX(DV13,DV45,DV61,DV29),MAX(ES13,ES29,ES45,ES61,ES77,FA94),MAX(EZ13,EZ29,EZ45,EZ61,EZ77,FI94),MAX(FG13,FG29,FG45,FG61,FG77,FP94),MAX(FN13,FN29,FN45,FN61,FN77,FW94),MAX(FU13,FU29,FU45,FU61,FU77,GD94))</f>
        <v>0</v>
      </c>
      <c r="EI77" s="1" t="b" cm="1">
        <f t="array" ref="EI77">OpeningKill(ES77,ES61,ES45,ES29,ES13,FB94,DV13,DV29,DV45,DV61,DV77)</f>
        <v>1</v>
      </c>
      <c r="EJ77" s="1" t="b">
        <f t="shared" si="53"/>
        <v>1</v>
      </c>
      <c r="EK77" s="5">
        <v>7</v>
      </c>
      <c r="EL77" s="1" t="b">
        <v>0</v>
      </c>
      <c r="EM77" s="1" t="b" cm="1">
        <f t="array" ref="EM77">IF(NOT(ISBLANK(CP31)),KOST(EE77,DY77,DV77,EL77),"NOT PLAYED")</f>
        <v>1</v>
      </c>
      <c r="EN77" s="1" t="b" cm="1">
        <f t="array" ref="EN77">OneVX(DV13,DV29,DV45,DV61,DV77)</f>
        <v>0</v>
      </c>
      <c r="EO77" s="1" t="b">
        <f t="shared" si="54"/>
        <v>0</v>
      </c>
      <c r="EP77" s="1" t="str" cm="1">
        <f t="array" ref="EP77:EU77">DetermineKill(ConvertToRoundTime(secandmin(BS13),secandmin(CJ31),BT13),BR13,BV13,BW13,BU13,BY13,BX13,$O$6)</f>
        <v>UNKNOWN</v>
      </c>
      <c r="EQ77" s="1" t="b">
        <v>0</v>
      </c>
      <c r="ER77" s="1" t="str">
        <v>Kouiyn</v>
      </c>
      <c r="ES77" s="1">
        <v>50</v>
      </c>
      <c r="ET77" s="1" t="b">
        <v>0</v>
      </c>
      <c r="EU77" s="1" t="b">
        <v>0</v>
      </c>
      <c r="EV77" s="1" t="b" cm="1">
        <f t="array" ref="EV77">DeathTraded(ES77,$O$6,DV13,$O$2,DV29,$O$3,DV45,$O$4,DV61,$O$5,DV77,$O$6,$R$2)</f>
        <v>0</v>
      </c>
      <c r="EW77" s="1" t="str" cm="1">
        <f t="array" ref="EW77:FB77">DetermineKill(ConvertToRoundTime(secandmin(CB13),secandmin(CJ31),CC13),CA13,CE13,CF13,CD13,CH13,CG13,$O$6)</f>
        <v>NOLOC</v>
      </c>
      <c r="EX77" s="1" t="b">
        <v>0</v>
      </c>
      <c r="EY77" s="1" t="b">
        <v>0</v>
      </c>
      <c r="EZ77" s="1" t="b">
        <v>0</v>
      </c>
      <c r="FA77" s="1" t="b">
        <v>0</v>
      </c>
      <c r="FB77" s="1" t="b">
        <v>0</v>
      </c>
      <c r="FC77" s="1" t="str" cm="1">
        <f t="array" ref="FC77">DeathTraded(EZ77,$O$6,DV13,$O$2,DV29,$O$3,DV45,$O$4,DV61,$O$5,DV77,$O$6,$R$2)</f>
        <v>N/A</v>
      </c>
      <c r="FD77" s="1" t="str" cm="1">
        <f t="array" ref="FD77:FI77">DetermineKill(ConvertToRoundTime(secandmin(CK13),secandmin(CJ31),CL13),CJ13,CN13,CO13,CM13,CQ13,CP13,$O$6)</f>
        <v>NOLOC</v>
      </c>
      <c r="FE77" s="1" t="b">
        <v>0</v>
      </c>
      <c r="FF77" s="1" t="b">
        <v>0</v>
      </c>
      <c r="FG77" s="1" t="b">
        <v>0</v>
      </c>
      <c r="FH77" s="1" t="b">
        <v>0</v>
      </c>
      <c r="FI77" s="1" t="b">
        <v>0</v>
      </c>
      <c r="FJ77" s="1" t="str" cm="1">
        <f t="array" ref="FJ77">DeathTraded(FG77,$O$6,DV13,$O$2,DV29,$O$3,DV45,$O$4,DV61,$O$5,DV77,$O$6,$R$2)</f>
        <v>N/A</v>
      </c>
      <c r="FK77" s="1" t="str" cm="1">
        <f t="array" ref="FK77:FP77">DetermineKill(ConvertToRoundTime(secandmin(CT13),secandmin(CJ31),CU13),CS13,CW13,CX13,CV13,CZ13,CY13,$O$6)</f>
        <v>NOLOC</v>
      </c>
      <c r="FL77" s="1" t="b">
        <v>0</v>
      </c>
      <c r="FM77" s="1" t="b">
        <v>0</v>
      </c>
      <c r="FN77" s="1" t="b">
        <v>0</v>
      </c>
      <c r="FO77" s="1" t="b">
        <v>0</v>
      </c>
      <c r="FP77" s="1" t="b">
        <v>0</v>
      </c>
      <c r="FQ77" s="1" t="str" cm="1">
        <f t="array" ref="FQ77">DeathTraded(FN77,$O$6,DV13,$O$2,DV29,$O$3,DV45,$O$4,DV61,$O$5,DV77,$O$6,$R$2)</f>
        <v>N/A</v>
      </c>
      <c r="FR77" s="1" t="str" cm="1">
        <f t="array" ref="FR77:FW77">DetermineKill(ConvertToRoundTime(secandmin(DC13),secandmin(CJ31),DD13),DB13,DF13,DG13,DE13,DI13,DH13,$O$6)</f>
        <v>NOLOC</v>
      </c>
      <c r="FS77" s="1" t="b">
        <v>0</v>
      </c>
      <c r="FT77" s="1" t="b">
        <v>0</v>
      </c>
      <c r="FU77" s="1" t="b">
        <v>0</v>
      </c>
      <c r="FV77" s="1" t="b">
        <v>0</v>
      </c>
      <c r="FW77" s="1" t="b">
        <v>0</v>
      </c>
      <c r="FX77" s="1" t="str" cm="1">
        <f t="array" ref="FX77">DeathTraded(FU77,$O$6,DV13,$O$2,DV29,$O$3,DV45,$O$4,DV61,$O$5,DV77,$O$6,$R$2)</f>
        <v>N/A</v>
      </c>
      <c r="FY77" s="5">
        <v>7</v>
      </c>
      <c r="FZ77" s="1">
        <f t="shared" si="55"/>
        <v>0</v>
      </c>
      <c r="GA77" s="21">
        <f t="shared" si="56"/>
        <v>0</v>
      </c>
      <c r="GB77" s="1" t="str">
        <f t="shared" si="49"/>
        <v>NODATA</v>
      </c>
      <c r="GC77" s="13" t="str">
        <f t="shared" si="57"/>
        <v>NODATA</v>
      </c>
      <c r="GD77" s="1" t="str">
        <f t="shared" si="58"/>
        <v>NODATA</v>
      </c>
      <c r="GE77" s="1" t="str">
        <f t="shared" si="59"/>
        <v>NODATA</v>
      </c>
      <c r="GF77" s="1" t="str" cm="1">
        <f t="array" ref="GF77">IF($V$2=TRUE,IF(CH31="Attack",ConvertToRoundTime(secandmin(CA31),secandmin(CJ31),CB31),""),"NO DATA")</f>
        <v/>
      </c>
      <c r="GG77" s="1" t="str" cm="1">
        <f t="array" ref="GG77">IF($V$2=TRUE,IF(CH31="Attack",ConvertToRoundTime(secandmin(CC31),secandmin(CJ31),CD31),""),"NO DATA")</f>
        <v/>
      </c>
    </row>
    <row r="78" spans="120:189" x14ac:dyDescent="0.25">
      <c r="DP78" s="37"/>
      <c r="DQ78" s="48" t="str">
        <f ca="1">A2</f>
        <v>8_22 Skyscraper_1</v>
      </c>
      <c r="DR78" s="4">
        <v>8</v>
      </c>
      <c r="DS78" s="1" t="str">
        <v>Defense</v>
      </c>
      <c r="DT78" s="1" t="str">
        <f t="shared" si="50"/>
        <v>Aggro</v>
      </c>
      <c r="DU78" s="1" t="str">
        <v>Jager</v>
      </c>
      <c r="DV78" s="21" t="b" cm="1">
        <f t="array" ref="DV78">ConvertToRoundTime(secandmin(BI14),secandmin(CJ32),BJ14)</f>
        <v>0</v>
      </c>
      <c r="DW78" s="1" t="b">
        <v>0</v>
      </c>
      <c r="DX78" s="1" t="str" cm="1">
        <f t="array" ref="DX78">DeathRefragged(DV78,MAX(ES14,ES30,ES46,ES62,ES78,FA95),MAX(EZ14,EZ30,EZ46,EZ62,EZ78,FI95),MAX(FG14,FG30,FG46,FG62,FG78,FP95),MAX(FN14,FN30,FN46,FN62,FN78,FW95),MAX(FU14,FU30,FU46,FU62,FU78,GD95),$Q$2)</f>
        <v>N/A</v>
      </c>
      <c r="DY78" s="1" t="str" cm="1">
        <f t="array" ref="DY78">DeathTraded(DV78,DW78,MAX(ES14,ES30,ES46,ES62,ES78,FA95),getKiller(ER14,ER30,ER46,ER62,ER78,FA95),MAX(EZ14,EZ30,EZ46,EZ62,EZ78,FI95),getKiller(EY14,EY30,EY46,EY62,EY78,FH95),MAX(FG14,FG30,FG46,FG62,FG78,FP95),getKiller(FF14,FF30,FF46,FF62,FF78,FO95),MAX(FN14,FN30,FN46,FN62,FN78,FW95),getKiller(FU14,FU30,FU46,FU62,FU78,FV95),MAX(FU14,FU30,FU46,FU62,FU78,GD95),getKiller(FT14,FT30,FT46,FT62,FT78,GC95),$O$2)</f>
        <v>N/A</v>
      </c>
      <c r="DZ78" s="1" t="b">
        <v>0</v>
      </c>
      <c r="EA78" s="1" t="str">
        <v>NOLOC</v>
      </c>
      <c r="EB78" s="1" t="b" cm="1">
        <f t="array" ref="EB78">OpeningDeath(MAX(ES14,ES30,ES46,ES62,ES78),DV78,DV14,DV30,DV46,DV62)</f>
        <v>0</v>
      </c>
      <c r="EC78" s="1" t="b" cm="1">
        <f t="array" ref="EC78">EntryDeath(DV78,DV62,DV46,DV30,DV14)</f>
        <v>0</v>
      </c>
      <c r="ED78" s="4">
        <v>8</v>
      </c>
      <c r="EE78" s="1">
        <f t="shared" si="48"/>
        <v>1</v>
      </c>
      <c r="EF78" s="1">
        <f t="shared" si="51"/>
        <v>1</v>
      </c>
      <c r="EG78" s="1">
        <f t="shared" si="52"/>
        <v>0</v>
      </c>
      <c r="EH78" s="1" cm="1">
        <f t="array" ref="EH78">ExitFrag(EN78,MAX(DV14,DV46,DV62,DV30),MAX(ES14,ES30,ES46,ES62,ES78,FA95),MAX(EZ14,EZ30,EZ46,EZ62,EZ78,FI95),MAX(FG14,FG30,FG46,FG62,FG78,FP95),MAX(FN14,FN30,FN46,FN62,FN78,FW95),MAX(FU14,FU30,FU46,FU62,FU78,GD95))</f>
        <v>0</v>
      </c>
      <c r="EI78" s="1" t="b" cm="1">
        <f t="array" ref="EI78">OpeningKill(ES78,ES62,ES46,ES30,ES14,FB95,DV14,DV30,DV46,DV62,DV78)</f>
        <v>0</v>
      </c>
      <c r="EJ78" s="1" t="b">
        <f t="shared" si="53"/>
        <v>0</v>
      </c>
      <c r="EK78" s="4">
        <v>8</v>
      </c>
      <c r="EL78" s="1" t="b">
        <v>0</v>
      </c>
      <c r="EM78" s="1" t="b" cm="1">
        <f t="array" ref="EM78">IF(NOT(ISBLANK(CP32)),KOST(EE78,DY78,DV78,EL78),"NOT PLAYED")</f>
        <v>1</v>
      </c>
      <c r="EN78" s="1" t="b" cm="1">
        <f t="array" ref="EN78">OneVX(DV14,DV30,DV46,DV62,DV78)</f>
        <v>0</v>
      </c>
      <c r="EO78" s="1" t="b">
        <f t="shared" si="54"/>
        <v>0</v>
      </c>
      <c r="EP78" s="1" t="str" cm="1">
        <f t="array" ref="EP78:EU78">DetermineKill(ConvertToRoundTime(secandmin(BS14),secandmin(CJ32),BT14),BR14,BV14,BW14,BU14,BY14,BX14,$O$6)</f>
        <v>NOLOC</v>
      </c>
      <c r="EQ78" s="1" t="b">
        <v>0</v>
      </c>
      <c r="ER78" s="1" t="b">
        <v>0</v>
      </c>
      <c r="ES78" s="1" t="b">
        <v>0</v>
      </c>
      <c r="ET78" s="1" t="b">
        <v>0</v>
      </c>
      <c r="EU78" s="1" t="b">
        <v>0</v>
      </c>
      <c r="EV78" s="1" t="str" cm="1">
        <f t="array" ref="EV78">DeathTraded(ES78,$O$6,DV14,$O$2,DV30,$O$3,DV46,$O$4,DV62,$O$5,DV78,$O$6,$R$2)</f>
        <v>N/A</v>
      </c>
      <c r="EW78" s="1" t="str" cm="1">
        <f t="array" ref="EW78:FB78">DetermineKill(ConvertToRoundTime(secandmin(CB14),secandmin(CJ32),CC14),CA14,CE14,CF14,CD14,CH14,CG14,$O$6)</f>
        <v>NOLOC</v>
      </c>
      <c r="EX78" s="1" t="b">
        <v>0</v>
      </c>
      <c r="EY78" s="1" t="b">
        <v>0</v>
      </c>
      <c r="EZ78" s="1" t="b">
        <v>0</v>
      </c>
      <c r="FA78" s="1" t="b">
        <v>0</v>
      </c>
      <c r="FB78" s="1" t="b">
        <v>0</v>
      </c>
      <c r="FC78" s="1" t="str" cm="1">
        <f t="array" ref="FC78">DeathTraded(EZ78,$O$6,DV14,$O$2,DV30,$O$3,DV46,$O$4,DV62,$O$5,DV78,$O$6,$R$2)</f>
        <v>N/A</v>
      </c>
      <c r="FD78" s="1" t="str" cm="1">
        <f t="array" ref="FD78:FI78">DetermineKill(ConvertToRoundTime(secandmin(CK14),secandmin(CJ32),CL14),CJ14,CN14,CO14,CM14,CQ14,CP14,$O$6)</f>
        <v>NOLOC</v>
      </c>
      <c r="FE78" s="1" t="b">
        <v>0</v>
      </c>
      <c r="FF78" s="1" t="b">
        <v>0</v>
      </c>
      <c r="FG78" s="1" t="b">
        <v>0</v>
      </c>
      <c r="FH78" s="1" t="b">
        <v>0</v>
      </c>
      <c r="FI78" s="1" t="b">
        <v>0</v>
      </c>
      <c r="FJ78" s="1" t="str" cm="1">
        <f t="array" ref="FJ78">DeathTraded(FG78,$O$6,DV14,$O$2,DV30,$O$3,DV46,$O$4,DV62,$O$5,DV78,$O$6,$R$2)</f>
        <v>N/A</v>
      </c>
      <c r="FK78" s="1" t="str" cm="1">
        <f t="array" ref="FK78:FP78">DetermineKill(ConvertToRoundTime(secandmin(CT14),secandmin(CJ32),CU14),CS14,CW14,CX14,CV14,CZ14,CY14,$O$6)</f>
        <v>NOLOC</v>
      </c>
      <c r="FL78" s="1" t="b">
        <v>0</v>
      </c>
      <c r="FM78" s="1" t="b">
        <v>0</v>
      </c>
      <c r="FN78" s="1" t="b">
        <v>0</v>
      </c>
      <c r="FO78" s="1" t="b">
        <v>0</v>
      </c>
      <c r="FP78" s="1" t="b">
        <v>0</v>
      </c>
      <c r="FQ78" s="1" t="str" cm="1">
        <f t="array" ref="FQ78">DeathTraded(FN78,$O$6,DV14,$O$2,DV30,$O$3,DV46,$O$4,DV62,$O$5,DV78,$O$6,$R$2)</f>
        <v>N/A</v>
      </c>
      <c r="FR78" s="1" t="str" cm="1">
        <f t="array" ref="FR78:FW78">DetermineKill(ConvertToRoundTime(secandmin(DC14),secandmin(CJ32),DD14),DB14,DF14,DG14,DE14,DI14,DH14,$O$6)</f>
        <v>UNKNOWN</v>
      </c>
      <c r="FS78" s="1" t="b">
        <v>0</v>
      </c>
      <c r="FT78" s="1" t="str">
        <v>Kouiyn</v>
      </c>
      <c r="FU78" s="1">
        <v>93</v>
      </c>
      <c r="FV78" s="1" t="b">
        <v>0</v>
      </c>
      <c r="FW78" s="1" t="b">
        <v>1</v>
      </c>
      <c r="FX78" s="1" t="b" cm="1">
        <f t="array" ref="FX78">DeathTraded(FU78,$O$6,DV14,$O$2,DV30,$O$3,DV46,$O$4,DV62,$O$5,DV78,$O$6,$R$2)</f>
        <v>0</v>
      </c>
      <c r="FY78" s="4">
        <v>8</v>
      </c>
      <c r="FZ78" s="1">
        <f t="shared" si="55"/>
        <v>0</v>
      </c>
      <c r="GA78" s="21">
        <f t="shared" si="56"/>
        <v>0</v>
      </c>
      <c r="GB78" s="1" t="str">
        <f t="shared" si="49"/>
        <v>NODATA</v>
      </c>
      <c r="GC78" s="13" t="str">
        <f t="shared" si="57"/>
        <v>NODATA</v>
      </c>
      <c r="GD78" s="1" t="str">
        <f t="shared" si="58"/>
        <v>NODATA</v>
      </c>
      <c r="GE78" s="1" t="str">
        <f t="shared" si="59"/>
        <v>NODATA</v>
      </c>
      <c r="GF78" s="1" t="str" cm="1">
        <f t="array" ref="GF78">IF($V$2=TRUE,IF(CH32="Attack",ConvertToRoundTime(secandmin(CA32),secandmin(CJ32),CB32),""),"NO DATA")</f>
        <v/>
      </c>
      <c r="GG78" s="1" t="str" cm="1">
        <f t="array" ref="GG78">IF($V$2=TRUE,IF(CH32="Attack",ConvertToRoundTime(secandmin(CC32),secandmin(CJ32),CD32),""),"NO DATA")</f>
        <v/>
      </c>
    </row>
    <row r="79" spans="120:189" x14ac:dyDescent="0.25">
      <c r="DP79" s="37"/>
      <c r="DQ79" s="48" t="str">
        <f ca="1">A2</f>
        <v>8_22 Skyscraper_1</v>
      </c>
      <c r="DR79" s="5">
        <v>9</v>
      </c>
      <c r="DS79" s="1" t="str">
        <v>Defense</v>
      </c>
      <c r="DT79" s="1" t="str">
        <f t="shared" si="50"/>
        <v>Aggro</v>
      </c>
      <c r="DU79" s="1" t="str">
        <v>Jager</v>
      </c>
      <c r="DV79" s="21" cm="1">
        <f t="array" ref="DV79">ConvertToRoundTime(secandmin(BI15),secandmin(CJ33),BJ15)</f>
        <v>146</v>
      </c>
      <c r="DW79" s="1" t="str">
        <v>Kiru</v>
      </c>
      <c r="DX79" s="1" t="b" cm="1">
        <f t="array" ref="DX79">DeathRefragged(DV79,MAX(ES15,ES31,ES47,ES63,ES79,FA96),MAX(EZ15,EZ31,EZ47,EZ63,EZ79,FI96),MAX(FG15,FG31,FG47,FG63,FG79,FP96),MAX(FN15,FN31,FN47,FN63,FN79,FW96),MAX(FU15,FU31,FU47,FU63,FU79,GD96),$Q$2)</f>
        <v>0</v>
      </c>
      <c r="DY79" s="1" t="b" cm="1">
        <f t="array" ref="DY79">DeathTraded(DV79,DW79,MAX(ES15,ES31,ES47,ES63,ES79,FA96),getKiller(ER15,ER31,ER47,ER63,ER79,FA96),MAX(EZ15,EZ31,EZ47,EZ63,EZ79,FI96),getKiller(EY15,EY31,EY47,EY63,EY79,FH96),MAX(FG15,FG31,FG47,FG63,FG79,FP96),getKiller(FF15,FF31,FF47,FF63,FF79,FO96),MAX(FN15,FN31,FN47,FN63,FN79,FW96),getKiller(FU15,FU31,FU47,FU63,FU79,FV96),MAX(FU15,FU31,FU47,FU63,FU79,GD96),getKiller(FT15,FT31,FT47,FT63,FT79,GC96),$O$2)</f>
        <v>0</v>
      </c>
      <c r="DZ79" s="1" t="b">
        <v>0</v>
      </c>
      <c r="EA79" s="1" t="str">
        <v>NOLOC</v>
      </c>
      <c r="EB79" s="1" t="b" cm="1">
        <f t="array" ref="EB79">OpeningDeath(MAX(ES15,ES31,ES47,ES63,ES79),DV79,DV15,DV31,DV47,DV63)</f>
        <v>0</v>
      </c>
      <c r="EC79" s="1" t="b" cm="1">
        <f t="array" ref="EC79">EntryDeath(DV79,DV63,DV47,DV31,DV15)</f>
        <v>0</v>
      </c>
      <c r="ED79" s="5">
        <v>9</v>
      </c>
      <c r="EE79" s="1">
        <f t="shared" si="48"/>
        <v>1</v>
      </c>
      <c r="EF79" s="1">
        <f t="shared" si="51"/>
        <v>0</v>
      </c>
      <c r="EG79" s="1">
        <f t="shared" si="52"/>
        <v>0</v>
      </c>
      <c r="EH79" s="1" cm="1">
        <f t="array" ref="EH79">ExitFrag(EN79,MAX(DV15,DV47,DV63,DV31),MAX(ES15,ES31,ES47,ES63,ES79,FA96),MAX(EZ15,EZ31,EZ47,EZ63,EZ79,FI96),MAX(FG15,FG31,FG47,FG63,FG79,FP96),MAX(FN15,FN31,FN47,FN63,FN79,FW96),MAX(FU15,FU31,FU47,FU63,FU79,GD96))</f>
        <v>0</v>
      </c>
      <c r="EI79" s="1" t="b" cm="1">
        <f t="array" ref="EI79">OpeningKill(ES79,ES63,ES47,ES31,ES15,FB96,DV15,DV31,DV47,DV63,DV79)</f>
        <v>0</v>
      </c>
      <c r="EJ79" s="1" t="b">
        <f t="shared" si="53"/>
        <v>1</v>
      </c>
      <c r="EK79" s="5">
        <v>9</v>
      </c>
      <c r="EL79" s="1" t="b">
        <v>0</v>
      </c>
      <c r="EM79" s="1" t="b" cm="1">
        <f t="array" ref="EM79">IF(NOT(ISBLANK(CP33)),KOST(EE79,DY79,DV79,EL79),"NOT PLAYED")</f>
        <v>1</v>
      </c>
      <c r="EN79" s="1" t="b" cm="1">
        <f t="array" ref="EN79">OneVX(DV15,DV31,DV47,DV63,DV79)</f>
        <v>0</v>
      </c>
      <c r="EO79" s="1" t="b">
        <f t="shared" si="54"/>
        <v>0</v>
      </c>
      <c r="EP79" s="1" t="str" cm="1">
        <f t="array" ref="EP79:EU79">DetermineKill(ConvertToRoundTime(secandmin(BS15),secandmin(CJ33),BT15),BR15,BV15,BW15,BU15,BY15,BX15,$O$6)</f>
        <v>UNKNOWN</v>
      </c>
      <c r="EQ79" s="1" t="b">
        <v>0</v>
      </c>
      <c r="ER79" s="1" t="str">
        <v>Kouiyn</v>
      </c>
      <c r="ES79" s="1">
        <v>93</v>
      </c>
      <c r="ET79" s="1" t="b">
        <v>0</v>
      </c>
      <c r="EU79" s="1" t="b">
        <v>0</v>
      </c>
      <c r="EV79" s="1" t="b" cm="1">
        <f t="array" ref="EV79">DeathTraded(ES79,$O$6,DV15,$O$2,DV31,$O$3,DV47,$O$4,DV63,$O$5,DV79,$O$6,$R$2)</f>
        <v>0</v>
      </c>
      <c r="EW79" s="1" t="str" cm="1">
        <f t="array" ref="EW79:FB79">DetermineKill(ConvertToRoundTime(secandmin(CB15),secandmin(CJ33),CC15),CA15,CE15,CF15,CD15,CH15,CG15,$O$6)</f>
        <v>NOLOC</v>
      </c>
      <c r="EX79" s="1" t="b">
        <v>0</v>
      </c>
      <c r="EY79" s="1" t="b">
        <v>0</v>
      </c>
      <c r="EZ79" s="1" t="b">
        <v>0</v>
      </c>
      <c r="FA79" s="1" t="b">
        <v>0</v>
      </c>
      <c r="FB79" s="1" t="b">
        <v>0</v>
      </c>
      <c r="FC79" s="1" t="str" cm="1">
        <f t="array" ref="FC79">DeathTraded(EZ79,$O$6,DV15,$O$2,DV31,$O$3,DV47,$O$4,DV63,$O$5,DV79,$O$6,$R$2)</f>
        <v>N/A</v>
      </c>
      <c r="FD79" s="1" t="str" cm="1">
        <f t="array" ref="FD79:FI79">DetermineKill(ConvertToRoundTime(secandmin(CK15),secandmin(CJ33),CL15),CJ15,CN15,CO15,CM15,CQ15,CP15,$O$6)</f>
        <v>NOLOC</v>
      </c>
      <c r="FE79" s="1" t="b">
        <v>0</v>
      </c>
      <c r="FF79" s="1" t="b">
        <v>0</v>
      </c>
      <c r="FG79" s="1" t="b">
        <v>0</v>
      </c>
      <c r="FH79" s="1" t="b">
        <v>0</v>
      </c>
      <c r="FI79" s="1" t="b">
        <v>0</v>
      </c>
      <c r="FJ79" s="1" t="str" cm="1">
        <f t="array" ref="FJ79">DeathTraded(FG79,$O$6,DV15,$O$2,DV31,$O$3,DV47,$O$4,DV63,$O$5,DV79,$O$6,$R$2)</f>
        <v>N/A</v>
      </c>
      <c r="FK79" s="1" t="str" cm="1">
        <f t="array" ref="FK79:FP79">DetermineKill(ConvertToRoundTime(secandmin(CT15),secandmin(CJ33),CU15),CS15,CW15,CX15,CV15,CZ15,CY15,$O$6)</f>
        <v>NOLOC</v>
      </c>
      <c r="FL79" s="1" t="b">
        <v>0</v>
      </c>
      <c r="FM79" s="1" t="b">
        <v>0</v>
      </c>
      <c r="FN79" s="1" t="b">
        <v>0</v>
      </c>
      <c r="FO79" s="1" t="b">
        <v>0</v>
      </c>
      <c r="FP79" s="1" t="b">
        <v>0</v>
      </c>
      <c r="FQ79" s="1" t="str" cm="1">
        <f t="array" ref="FQ79">DeathTraded(FN79,$O$6,DV15,$O$2,DV31,$O$3,DV47,$O$4,DV63,$O$5,DV79,$O$6,$R$2)</f>
        <v>N/A</v>
      </c>
      <c r="FR79" s="1" t="str" cm="1">
        <f t="array" ref="FR79:FW79">DetermineKill(ConvertToRoundTime(secandmin(DC15),secandmin(CJ33),DD15),DB15,DF15,DG15,DE15,DI15,DH15,$O$6)</f>
        <v>NOLOC</v>
      </c>
      <c r="FS79" s="1" t="b">
        <v>0</v>
      </c>
      <c r="FT79" s="1" t="b">
        <v>0</v>
      </c>
      <c r="FU79" s="1" t="b">
        <v>0</v>
      </c>
      <c r="FV79" s="1" t="b">
        <v>0</v>
      </c>
      <c r="FW79" s="1" t="b">
        <v>0</v>
      </c>
      <c r="FX79" s="1" t="str" cm="1">
        <f t="array" ref="FX79">DeathTraded(FU79,$O$6,DV15,$O$2,DV31,$O$3,DV47,$O$4,DV63,$O$5,DV79,$O$6,$R$2)</f>
        <v>N/A</v>
      </c>
      <c r="FY79" s="5">
        <v>9</v>
      </c>
      <c r="FZ79" s="1">
        <f t="shared" si="55"/>
        <v>0</v>
      </c>
      <c r="GA79" s="21">
        <f t="shared" si="56"/>
        <v>0</v>
      </c>
      <c r="GB79" s="1" t="str">
        <f t="shared" si="49"/>
        <v>NODATA</v>
      </c>
      <c r="GC79" s="13" t="str">
        <f t="shared" si="57"/>
        <v>NODATA</v>
      </c>
      <c r="GD79" s="1" t="str">
        <f t="shared" si="58"/>
        <v>NODATA</v>
      </c>
      <c r="GE79" s="1" t="str">
        <f t="shared" si="59"/>
        <v>NODATA</v>
      </c>
      <c r="GF79" s="1" t="str" cm="1">
        <f t="array" ref="GF79">IF($V$2=TRUE,IF(CH33="Attack",ConvertToRoundTime(secandmin(CA33),secandmin(CJ33),CB33),""),"NO DATA")</f>
        <v/>
      </c>
      <c r="GG79" s="1" t="str" cm="1">
        <f t="array" ref="GG79">IF($V$2=TRUE,IF(CH33="Attack",ConvertToRoundTime(secandmin(CC33),secandmin(CJ33),CD33),""),"NO DATA")</f>
        <v/>
      </c>
    </row>
    <row r="80" spans="120:189" x14ac:dyDescent="0.25">
      <c r="DP80" s="37"/>
      <c r="DQ80" s="48" t="str">
        <f ca="1">A2</f>
        <v>8_22 Skyscraper_1</v>
      </c>
      <c r="DR80" s="4">
        <v>10</v>
      </c>
      <c r="DS80" s="1" t="str">
        <v>Defense</v>
      </c>
      <c r="DT80" s="1" t="str">
        <f t="shared" si="50"/>
        <v>Aggro</v>
      </c>
      <c r="DU80" s="1" t="str">
        <v>Mozzie</v>
      </c>
      <c r="DV80" s="21" cm="1">
        <f t="array" ref="DV80">ConvertToRoundTime(secandmin(BI16),secandmin(CJ34),BJ16)</f>
        <v>89</v>
      </c>
      <c r="DW80" s="1" t="str">
        <v>Kiru</v>
      </c>
      <c r="DX80" s="1" t="b" cm="1">
        <f t="array" ref="DX80">DeathRefragged(DV80,MAX(ES16,ES32,ES48,ES64,ES80,FA97),MAX(EZ16,EZ32,EZ48,EZ64,EZ80,FI97),MAX(FG16,FG32,FG48,FG64,FG80,FP97),MAX(FN16,FN32,FN48,FN64,FN80,FW97),MAX(FU16,FU32,FU48,FU64,FU80,GD97),$Q$2)</f>
        <v>0</v>
      </c>
      <c r="DY80" s="1" t="b" cm="1">
        <f t="array" ref="DY80">DeathTraded(DV80,DW80,MAX(ES16,ES32,ES48,ES64,ES80,FA97),getKiller(ER16,ER32,ER48,ER64,ER80,FA97),MAX(EZ16,EZ32,EZ48,EZ64,EZ80,FI97),getKiller(EY16,EY32,EY48,EY64,EY80,FH97),MAX(FG16,FG32,FG48,FG64,FG80,FP97),getKiller(FF16,FF32,FF48,FF64,FF80,FO97),MAX(FN16,FN32,FN48,FN64,FN80,FW97),getKiller(FU16,FU32,FU48,FU64,FU80,FV97),MAX(FU16,FU32,FU48,FU64,FU80,GD97),getKiller(FT16,FT32,FT48,FT64,FT80,GC97),$O$2)</f>
        <v>1</v>
      </c>
      <c r="DZ80" s="1" t="b">
        <v>0</v>
      </c>
      <c r="EA80" s="1" t="str">
        <v>NOLOC</v>
      </c>
      <c r="EB80" s="1" t="b" cm="1">
        <f t="array" ref="EB80">OpeningDeath(MAX(ES16,ES32,ES48,ES64,ES80),DV80,DV16,DV32,DV48,DV64)</f>
        <v>0</v>
      </c>
      <c r="EC80" s="1" t="b" cm="1">
        <f t="array" ref="EC80">EntryDeath(DV80,DV64,DV48,DV32,DV16)</f>
        <v>0</v>
      </c>
      <c r="ED80" s="4">
        <v>10</v>
      </c>
      <c r="EE80" s="1">
        <f t="shared" si="48"/>
        <v>2</v>
      </c>
      <c r="EF80" s="1">
        <f t="shared" si="51"/>
        <v>1</v>
      </c>
      <c r="EG80" s="1">
        <f t="shared" si="52"/>
        <v>0</v>
      </c>
      <c r="EH80" s="1" cm="1">
        <f t="array" ref="EH80">ExitFrag(EN80,MAX(DV16,DV48,DV64,DV32),MAX(ES16,ES32,ES48,ES64,ES80,FA97),MAX(EZ16,EZ32,EZ48,EZ64,EZ80,FI97),MAX(FG16,FG32,FG48,FG64,FG80,FP97),MAX(FN16,FN32,FN48,FN64,FN80,FW97),MAX(FU16,FU32,FU48,FU64,FU80,GD97))</f>
        <v>0</v>
      </c>
      <c r="EI80" s="1" t="b" cm="1">
        <f t="array" ref="EI80">OpeningKill(ES80,ES64,ES48,ES32,ES16,FB97,DV16,DV32,DV48,DV64,DV80)</f>
        <v>1</v>
      </c>
      <c r="EJ80" s="1" t="b">
        <f t="shared" si="53"/>
        <v>1</v>
      </c>
      <c r="EK80" s="4">
        <v>10</v>
      </c>
      <c r="EL80" s="1" t="b">
        <v>0</v>
      </c>
      <c r="EM80" s="1" t="b" cm="1">
        <f t="array" ref="EM80">IF(NOT(ISBLANK(CP34)),KOST(EE80,DY80,DV80,EL80),"NOT PLAYED")</f>
        <v>1</v>
      </c>
      <c r="EN80" s="1" t="b" cm="1">
        <f t="array" ref="EN80">OneVX(DV16,DV32,DV48,DV64,DV80)</f>
        <v>0</v>
      </c>
      <c r="EO80" s="1" t="b">
        <f t="shared" si="54"/>
        <v>0</v>
      </c>
      <c r="EP80" s="1" t="str" cm="1">
        <f t="array" ref="EP80:EU80">DetermineKill(ConvertToRoundTime(secandmin(BS16),secandmin(CJ34),BT16),BR16,BV16,BW16,BU16,BY16,BX16,$O$6)</f>
        <v>UNKNOWN</v>
      </c>
      <c r="EQ80" s="1" t="b">
        <v>0</v>
      </c>
      <c r="ER80" s="1" t="str">
        <v>Kouiyn</v>
      </c>
      <c r="ES80" s="1">
        <v>34</v>
      </c>
      <c r="ET80" s="1" t="b">
        <v>0</v>
      </c>
      <c r="EU80" s="1" t="b">
        <v>1</v>
      </c>
      <c r="EV80" s="1" t="b" cm="1">
        <f t="array" ref="EV80">DeathTraded(ES80,$O$6,DV16,$O$2,DV32,$O$3,DV48,$O$4,DV64,$O$5,DV80,$O$6,$R$2)</f>
        <v>0</v>
      </c>
      <c r="EW80" s="1" t="str" cm="1">
        <f t="array" ref="EW80:FB80">DetermineKill(ConvertToRoundTime(secandmin(CB16),secandmin(CJ34),CC16),CA16,CE16,CF16,CD16,CH16,CG16,$O$6)</f>
        <v>NOLOC</v>
      </c>
      <c r="EX80" s="1" t="b">
        <v>0</v>
      </c>
      <c r="EY80" s="1" t="b">
        <v>0</v>
      </c>
      <c r="EZ80" s="1" t="b">
        <v>0</v>
      </c>
      <c r="FA80" s="1" t="b">
        <v>0</v>
      </c>
      <c r="FB80" s="1" t="b">
        <v>0</v>
      </c>
      <c r="FC80" s="1" t="str" cm="1">
        <f t="array" ref="FC80">DeathTraded(EZ80,$O$6,DV16,$O$2,DV32,$O$3,DV48,$O$4,DV64,$O$5,DV80,$O$6,$R$2)</f>
        <v>N/A</v>
      </c>
      <c r="FD80" s="1" t="str" cm="1">
        <f t="array" ref="FD80:FI80">DetermineKill(ConvertToRoundTime(secandmin(CK16),secandmin(CJ34),CL16),CJ16,CN16,CO16,CM16,CQ16,CP16,$O$6)</f>
        <v>NOLOC</v>
      </c>
      <c r="FE80" s="1" t="b">
        <v>0</v>
      </c>
      <c r="FF80" s="1" t="b">
        <v>0</v>
      </c>
      <c r="FG80" s="1" t="b">
        <v>0</v>
      </c>
      <c r="FH80" s="1" t="b">
        <v>0</v>
      </c>
      <c r="FI80" s="1" t="b">
        <v>0</v>
      </c>
      <c r="FJ80" s="1" t="str" cm="1">
        <f t="array" ref="FJ80">DeathTraded(FG80,$O$6,DV16,$O$2,DV32,$O$3,DV48,$O$4,DV64,$O$5,DV80,$O$6,$R$2)</f>
        <v>N/A</v>
      </c>
      <c r="FK80" s="1" t="str" cm="1">
        <f t="array" ref="FK80:FP80">DetermineKill(ConvertToRoundTime(secandmin(CT16),secandmin(CJ34),CU16),CS16,CW16,CX16,CV16,CZ16,CY16,$O$6)</f>
        <v>UNKNOWN</v>
      </c>
      <c r="FL80" s="1" t="b">
        <v>0</v>
      </c>
      <c r="FM80" s="1" t="str">
        <v>Floofs</v>
      </c>
      <c r="FN80" s="1">
        <v>154</v>
      </c>
      <c r="FO80" s="1" t="b">
        <v>0</v>
      </c>
      <c r="FP80" s="1" t="b">
        <v>0</v>
      </c>
      <c r="FQ80" s="1" t="b" cm="1">
        <f t="array" ref="FQ80">DeathTraded(FN80,$O$6,DV16,$O$2,DV32,$O$3,DV48,$O$4,DV64,$O$5,DV80,$O$6,$R$2)</f>
        <v>0</v>
      </c>
      <c r="FR80" s="1" t="str" cm="1">
        <f t="array" ref="FR80:FW80">DetermineKill(ConvertToRoundTime(secandmin(DC16),secandmin(CJ34),DD16),DB16,DF16,DG16,DE16,DI16,DH16,$O$6)</f>
        <v>NOLOC</v>
      </c>
      <c r="FS80" s="1" t="b">
        <v>0</v>
      </c>
      <c r="FT80" s="1" t="b">
        <v>0</v>
      </c>
      <c r="FU80" s="1" t="b">
        <v>0</v>
      </c>
      <c r="FV80" s="1" t="b">
        <v>0</v>
      </c>
      <c r="FW80" s="1" t="b">
        <v>0</v>
      </c>
      <c r="FX80" s="1" t="str" cm="1">
        <f t="array" ref="FX80">DeathTraded(FU80,$O$6,DV16,$O$2,DV32,$O$3,DV48,$O$4,DV64,$O$5,DV80,$O$6,$R$2)</f>
        <v>N/A</v>
      </c>
      <c r="FY80" s="4">
        <v>10</v>
      </c>
      <c r="FZ80" s="1">
        <f t="shared" si="55"/>
        <v>0</v>
      </c>
      <c r="GA80" s="21">
        <f t="shared" si="56"/>
        <v>0</v>
      </c>
      <c r="GB80" s="1" t="str">
        <f t="shared" si="49"/>
        <v>NODATA</v>
      </c>
      <c r="GC80" s="13" t="str">
        <f t="shared" si="57"/>
        <v>NODATA</v>
      </c>
      <c r="GD80" s="1" t="str">
        <f t="shared" si="58"/>
        <v>NODATA</v>
      </c>
      <c r="GE80" s="1" t="str">
        <f t="shared" si="59"/>
        <v>NODATA</v>
      </c>
      <c r="GF80" s="1" t="str" cm="1">
        <f t="array" ref="GF80">IF($V$2=TRUE,IF(CH34="Attack",ConvertToRoundTime(secandmin(CA34),secandmin(CJ34),CB34),""),"NO DATA")</f>
        <v/>
      </c>
      <c r="GG80" s="1" t="str" cm="1">
        <f t="array" ref="GG80">IF($V$2=TRUE,IF(CH34="Attack",ConvertToRoundTime(secandmin(CC34),secandmin(CJ34),CD34),""),"NO DATA")</f>
        <v/>
      </c>
    </row>
    <row r="81" spans="1:189" x14ac:dyDescent="0.25">
      <c r="DP81" s="37"/>
      <c r="DQ81" s="48" t="str">
        <f ca="1">A2</f>
        <v>8_22 Skyscraper_1</v>
      </c>
      <c r="DR81" s="5">
        <v>11</v>
      </c>
      <c r="DS81" s="1" t="str">
        <v>Defense</v>
      </c>
      <c r="DT81" s="1" t="str">
        <f t="shared" si="50"/>
        <v>Aggro</v>
      </c>
      <c r="DU81" s="1" t="str">
        <v>Kaid</v>
      </c>
      <c r="DV81" s="21" t="b" cm="1">
        <f t="array" ref="DV81">ConvertToRoundTime(secandmin(BI17),secandmin(CJ35),BJ17)</f>
        <v>0</v>
      </c>
      <c r="DW81" s="1" t="b">
        <v>0</v>
      </c>
      <c r="DX81" s="1" t="str" cm="1">
        <f t="array" ref="DX81">DeathRefragged(DV81,MAX(ES17,ES33,ES49,ES65,ES81,FA98),MAX(EZ17,EZ33,EZ49,EZ65,EZ81,FI98),MAX(FG17,FG33,FG49,FG65,FG81,FP98),MAX(FN17,FN33,FN49,FN65,FN81,FW98),MAX(FU17,FU33,FU49,FU65,FU81,GD98),$Q$2)</f>
        <v>N/A</v>
      </c>
      <c r="DY81" s="1" t="str" cm="1">
        <f t="array" ref="DY81">DeathTraded(DV81,DW81,MAX(ES17,ES33,ES49,ES65,ES81,FA98),getKiller(ER17,ER33,ER49,ER65,ER81,FA98),MAX(EZ17,EZ33,EZ49,EZ65,EZ81,FI98),getKiller(EY17,EY33,EY49,EY65,EY81,FH98),MAX(FG17,FG33,FG49,FG65,FG81,FP98),getKiller(FF17,FF33,FF49,FF65,FF81,FO98),MAX(FN17,FN33,FN49,FN65,FN81,FW98),getKiller(FU17,FU33,FU49,FU65,FU81,FV98),MAX(FU17,FU33,FU49,FU65,FU81,GD98),getKiller(FT17,FT33,FT49,FT65,FT81,GC98),$O$2)</f>
        <v>N/A</v>
      </c>
      <c r="DZ81" s="1" t="b">
        <v>0</v>
      </c>
      <c r="EA81" s="1" t="str">
        <v>NOLOC</v>
      </c>
      <c r="EB81" s="1" t="b" cm="1">
        <f t="array" ref="EB81">OpeningDeath(MAX(ES17,ES33,ES49,ES65,ES81),DV81,DV17,DV33,DV49,DV65)</f>
        <v>0</v>
      </c>
      <c r="EC81" s="1" t="b" cm="1">
        <f t="array" ref="EC81">EntryDeath(DV81,DV65,DV49,DV33,DV17)</f>
        <v>0</v>
      </c>
      <c r="ED81" s="5">
        <v>11</v>
      </c>
      <c r="EE81" s="1">
        <f t="shared" si="48"/>
        <v>0</v>
      </c>
      <c r="EF81" s="1">
        <f t="shared" si="51"/>
        <v>0</v>
      </c>
      <c r="EG81" s="1">
        <f t="shared" si="52"/>
        <v>0</v>
      </c>
      <c r="EH81" s="1" cm="1">
        <f t="array" ref="EH81">ExitFrag(EN81,MAX(DV17,DV49,DV65,DV33),MAX(ES17,ES33,ES49,ES65,ES81,FA98),MAX(EZ17,EZ33,EZ49,EZ65,EZ81,FI98),MAX(FG17,FG33,FG49,FG65,FG81,FP98),MAX(FN17,FN33,FN49,FN65,FN81,FW98),MAX(FU17,FU33,FU49,FU65,FU81,GD98))</f>
        <v>0</v>
      </c>
      <c r="EI81" s="1" t="b" cm="1">
        <f t="array" ref="EI81">OpeningKill(ES81,ES65,ES49,ES33,ES17,FB98,DV17,DV33,DV49,DV65,DV81)</f>
        <v>0</v>
      </c>
      <c r="EJ81" s="1" t="b">
        <f t="shared" si="53"/>
        <v>0</v>
      </c>
      <c r="EK81" s="5">
        <v>11</v>
      </c>
      <c r="EL81" s="1" t="b">
        <v>0</v>
      </c>
      <c r="EM81" s="1" t="b" cm="1">
        <f t="array" ref="EM81">IF(NOT(ISBLANK(CP35)),KOST(EE81,DY81,DV81,EL81),"NOT PLAYED")</f>
        <v>1</v>
      </c>
      <c r="EN81" s="1" t="b" cm="1">
        <f t="array" ref="EN81">OneVX(DV17,DV33,DV49,DV65,DV81)</f>
        <v>0</v>
      </c>
      <c r="EO81" s="1" t="b">
        <f t="shared" si="54"/>
        <v>0</v>
      </c>
      <c r="EP81" s="1" t="str" cm="1">
        <f t="array" ref="EP81:EU81">DetermineKill(ConvertToRoundTime(secandmin(BS17),secandmin(CJ35),BT17),BR17,BV17,BW17,BU17,BY17,BX17,$O$6)</f>
        <v>NOLOC</v>
      </c>
      <c r="EQ81" s="1" t="b">
        <v>0</v>
      </c>
      <c r="ER81" s="1" t="b">
        <v>0</v>
      </c>
      <c r="ES81" s="1" t="b">
        <v>0</v>
      </c>
      <c r="ET81" s="1" t="b">
        <v>0</v>
      </c>
      <c r="EU81" s="1" t="b">
        <v>0</v>
      </c>
      <c r="EV81" s="1" t="str" cm="1">
        <f t="array" ref="EV81">DeathTraded(ES81,$O$6,DV17,$O$2,DV33,$O$3,DV49,$O$4,DV65,$O$5,DV81,$O$6,$R$2)</f>
        <v>N/A</v>
      </c>
      <c r="EW81" s="1" t="str" cm="1">
        <f t="array" ref="EW81:FB81">DetermineKill(ConvertToRoundTime(secandmin(CB17),secandmin(CJ35),CC17),CA17,CE17,CF17,CD17,CH17,CG17,$O$6)</f>
        <v>NOLOC</v>
      </c>
      <c r="EX81" s="1" t="b">
        <v>0</v>
      </c>
      <c r="EY81" s="1" t="b">
        <v>0</v>
      </c>
      <c r="EZ81" s="1" t="b">
        <v>0</v>
      </c>
      <c r="FA81" s="1" t="b">
        <v>0</v>
      </c>
      <c r="FB81" s="1" t="b">
        <v>0</v>
      </c>
      <c r="FC81" s="1" t="str" cm="1">
        <f t="array" ref="FC81">DeathTraded(EZ81,$O$6,DV17,$O$2,DV33,$O$3,DV49,$O$4,DV65,$O$5,DV81,$O$6,$R$2)</f>
        <v>N/A</v>
      </c>
      <c r="FD81" s="1" t="str" cm="1">
        <f t="array" ref="FD81:FI81">DetermineKill(ConvertToRoundTime(secandmin(CK17),secandmin(CJ35),CL17),CJ17,CN17,CO17,CM17,CQ17,CP17,$O$6)</f>
        <v>NOLOC</v>
      </c>
      <c r="FE81" s="1" t="b">
        <v>0</v>
      </c>
      <c r="FF81" s="1" t="b">
        <v>0</v>
      </c>
      <c r="FG81" s="1" t="b">
        <v>0</v>
      </c>
      <c r="FH81" s="1" t="b">
        <v>0</v>
      </c>
      <c r="FI81" s="1" t="b">
        <v>0</v>
      </c>
      <c r="FJ81" s="1" t="str" cm="1">
        <f t="array" ref="FJ81">DeathTraded(FG81,$O$6,DV17,$O$2,DV33,$O$3,DV49,$O$4,DV65,$O$5,DV81,$O$6,$R$2)</f>
        <v>N/A</v>
      </c>
      <c r="FK81" s="1" t="str" cm="1">
        <f t="array" ref="FK81:FP81">DetermineKill(ConvertToRoundTime(secandmin(CT17),secandmin(CJ35),CU17),CS17,CW17,CX17,CV17,CZ17,CY17,$O$6)</f>
        <v>NOLOC</v>
      </c>
      <c r="FL81" s="1" t="b">
        <v>0</v>
      </c>
      <c r="FM81" s="1" t="b">
        <v>0</v>
      </c>
      <c r="FN81" s="1" t="b">
        <v>0</v>
      </c>
      <c r="FO81" s="1" t="b">
        <v>0</v>
      </c>
      <c r="FP81" s="1" t="b">
        <v>0</v>
      </c>
      <c r="FQ81" s="1" t="str" cm="1">
        <f t="array" ref="FQ81">DeathTraded(FN81,$O$6,DV17,$O$2,DV33,$O$3,DV49,$O$4,DV65,$O$5,DV81,$O$6,$R$2)</f>
        <v>N/A</v>
      </c>
      <c r="FR81" s="1" t="str" cm="1">
        <f t="array" ref="FR81:FW81">DetermineKill(ConvertToRoundTime(secandmin(DC17),secandmin(CJ35),DD17),DB17,DF17,DG17,DE17,DI17,DH17,$O$6)</f>
        <v>NOLOC</v>
      </c>
      <c r="FS81" s="1" t="b">
        <v>0</v>
      </c>
      <c r="FT81" s="1" t="b">
        <v>0</v>
      </c>
      <c r="FU81" s="1" t="b">
        <v>0</v>
      </c>
      <c r="FV81" s="1" t="b">
        <v>0</v>
      </c>
      <c r="FW81" s="1" t="b">
        <v>0</v>
      </c>
      <c r="FX81" s="1" t="str" cm="1">
        <f t="array" ref="FX81">DeathTraded(FU81,$O$6,DV17,$O$2,DV33,$O$3,DV49,$O$4,DV65,$O$5,DV81,$O$6,$R$2)</f>
        <v>N/A</v>
      </c>
      <c r="FY81" s="5">
        <v>11</v>
      </c>
      <c r="FZ81" s="1">
        <f t="shared" si="55"/>
        <v>0</v>
      </c>
      <c r="GA81" s="21">
        <f t="shared" si="56"/>
        <v>0</v>
      </c>
      <c r="GB81" s="1" t="str">
        <f t="shared" si="49"/>
        <v>NODATA</v>
      </c>
      <c r="GC81" s="13" t="str">
        <f t="shared" si="57"/>
        <v>NODATA</v>
      </c>
      <c r="GD81" s="1" t="str">
        <f t="shared" si="58"/>
        <v>NODATA</v>
      </c>
      <c r="GE81" s="1" t="str">
        <f t="shared" si="59"/>
        <v>NODATA</v>
      </c>
      <c r="GF81" s="1" t="str" cm="1">
        <f t="array" ref="GF81">IF($V$2=TRUE,IF(CH35="Attack",ConvertToRoundTime(secandmin(CA35),secandmin(CJ35),CB35),""),"NO DATA")</f>
        <v/>
      </c>
      <c r="GG81" s="1" t="str" cm="1">
        <f t="array" ref="GG81">IF($V$2=TRUE,IF(CH35="Attack",ConvertToRoundTime(secandmin(CC35),secandmin(CJ35),CD35),""),"NO DATA")</f>
        <v/>
      </c>
    </row>
    <row r="82" spans="1:189" x14ac:dyDescent="0.25">
      <c r="DP82" s="37"/>
      <c r="DQ82" s="48" t="str">
        <f ca="1">A2</f>
        <v>8_22 Skyscraper_1</v>
      </c>
      <c r="DR82" s="4">
        <v>12</v>
      </c>
      <c r="DS82" s="1" t="str">
        <v>Not Played</v>
      </c>
      <c r="DT82" s="1" t="str">
        <f t="shared" si="50"/>
        <v>Aggro</v>
      </c>
      <c r="DU82" s="1" t="str">
        <v>Not Played</v>
      </c>
      <c r="DV82" s="21" t="b" cm="1">
        <f t="array" ref="DV82">ConvertToRoundTime(secandmin(BI18),secandmin(CJ36),BJ18)</f>
        <v>0</v>
      </c>
      <c r="DW82" s="1" t="b">
        <v>0</v>
      </c>
      <c r="DX82" s="1" t="str" cm="1">
        <f t="array" ref="DX82">DeathRefragged(DV82,MAX(ES18,ES34,ES50,ES66,ES82,FA99),MAX(EZ18,EZ34,EZ50,EZ66,EZ82,FI99),MAX(FG18,FG34,FG50,FG66,FG82,FP99),MAX(FN18,FN34,FN50,FN66,FN82,FW99),MAX(FU18,FU34,FU50,FU66,FU82,GD99),$Q$2)</f>
        <v>N/A</v>
      </c>
      <c r="DY82" s="1" t="str" cm="1">
        <f t="array" ref="DY82">DeathTraded(DV82,DW82,MAX(ES18,ES34,ES50,ES66,ES82,FA99),getKiller(ER18,ER34,ER50,ER66,ER82,FA99),MAX(EZ18,EZ34,EZ50,EZ66,EZ82,FI99),getKiller(EY18,EY34,EY50,EY66,EY82,FH99),MAX(FG18,FG34,FG50,FG66,FG82,FP99),getKiller(FF18,FF34,FF50,FF66,FF82,FO99),MAX(FN18,FN34,FN50,FN66,FN82,FW99),getKiller(FU18,FU34,FU50,FU66,FU82,FV99),MAX(FU18,FU34,FU50,FU66,FU82,GD99),getKiller(FT18,FT34,FT50,FT66,FT82,GC99),$O$2)</f>
        <v>N/A</v>
      </c>
      <c r="DZ82" s="1" t="b">
        <v>0</v>
      </c>
      <c r="EA82" s="1" t="str">
        <v>NOLOC</v>
      </c>
      <c r="EB82" s="1" t="b" cm="1">
        <f t="array" ref="EB82">OpeningDeath(MAX(ES18,ES34,ES50,ES66,ES82),DV82,DV18,DV34,DV50,DV66)</f>
        <v>0</v>
      </c>
      <c r="EC82" s="1" t="b" cm="1">
        <f t="array" ref="EC82">EntryDeath(DV82,DV66,DV50,DV34,DV18)</f>
        <v>0</v>
      </c>
      <c r="ED82" s="4">
        <v>12</v>
      </c>
      <c r="EE82" s="1">
        <f t="shared" si="48"/>
        <v>0</v>
      </c>
      <c r="EF82" s="1">
        <f t="shared" si="51"/>
        <v>0</v>
      </c>
      <c r="EG82" s="1">
        <f t="shared" si="52"/>
        <v>0</v>
      </c>
      <c r="EH82" s="1" cm="1">
        <f t="array" ref="EH82">ExitFrag(EN82,MAX(DV18,DV50,DV66,DV34),MAX(ES18,ES34,ES50,ES66,ES82,FA99),MAX(EZ18,EZ34,EZ50,EZ66,EZ82,FI99),MAX(FG18,FG34,FG50,FG66,FG82,FP99),MAX(FN18,FN34,FN50,FN66,FN82,FW99),MAX(FU18,FU34,FU50,FU66,FU82,GD99))</f>
        <v>0</v>
      </c>
      <c r="EI82" s="1" t="b" cm="1">
        <f t="array" ref="EI82">OpeningKill(ES82,ES66,ES50,ES34,ES18,FB99,DV18,DV34,DV50,DV66,DV82)</f>
        <v>0</v>
      </c>
      <c r="EJ82" s="1" t="b">
        <f t="shared" si="53"/>
        <v>0</v>
      </c>
      <c r="EK82" s="4">
        <v>12</v>
      </c>
      <c r="EL82" s="1" t="b">
        <v>0</v>
      </c>
      <c r="EM82" s="1" t="str" cm="1">
        <f t="array" ref="EM82">IF(NOT(ISBLANK(CP36)),KOST(EE82,DY82,DV82,EL82),"NOT PLAYED")</f>
        <v>NOT PLAYED</v>
      </c>
      <c r="EN82" s="1" t="b" cm="1">
        <f t="array" ref="EN82">OneVX(DV18,DV34,DV50,DV66,DV82)</f>
        <v>0</v>
      </c>
      <c r="EO82" s="1" t="b">
        <f t="shared" si="54"/>
        <v>0</v>
      </c>
      <c r="EP82" s="1" t="str" cm="1">
        <f t="array" ref="EP82:EU82">DetermineKill(ConvertToRoundTime(secandmin(BS18),secandmin(CJ36),BT18),BR18,BV18,BW18,BU18,BY18,BX18,$O$6)</f>
        <v>NOLOC</v>
      </c>
      <c r="EQ82" s="1" t="b">
        <v>0</v>
      </c>
      <c r="ER82" s="1" t="b">
        <v>0</v>
      </c>
      <c r="ES82" s="1" t="b">
        <v>0</v>
      </c>
      <c r="ET82" s="1" t="b">
        <v>0</v>
      </c>
      <c r="EU82" s="1" t="b">
        <v>0</v>
      </c>
      <c r="EV82" s="1" t="str" cm="1">
        <f t="array" ref="EV82">DeathTraded(ES82,$O$6,DV18,$O$2,DV34,$O$3,DV50,$O$4,DV66,$O$5,DV82,$O$6,$R$2)</f>
        <v>N/A</v>
      </c>
      <c r="EW82" s="1" t="str" cm="1">
        <f t="array" ref="EW82:FB82">DetermineKill(ConvertToRoundTime(secandmin(CB18),secandmin(CJ36),CC18),CA18,CE18,CF18,CD18,CH18,CG18,$O$6)</f>
        <v>NOLOC</v>
      </c>
      <c r="EX82" s="1" t="b">
        <v>0</v>
      </c>
      <c r="EY82" s="1" t="b">
        <v>0</v>
      </c>
      <c r="EZ82" s="1" t="b">
        <v>0</v>
      </c>
      <c r="FA82" s="1" t="b">
        <v>0</v>
      </c>
      <c r="FB82" s="1" t="b">
        <v>0</v>
      </c>
      <c r="FC82" s="1" t="str" cm="1">
        <f t="array" ref="FC82">DeathTraded(EZ82,$O$6,DV18,$O$2,DV34,$O$3,DV50,$O$4,DV66,$O$5,DV82,$O$6,$R$2)</f>
        <v>N/A</v>
      </c>
      <c r="FD82" s="1" t="str" cm="1">
        <f t="array" ref="FD82:FI82">DetermineKill(ConvertToRoundTime(secandmin(CK18),secandmin(CJ36),CL18),CJ18,CN18,CO18,CM18,CQ18,CP18,$O$6)</f>
        <v>NOLOC</v>
      </c>
      <c r="FE82" s="1" t="b">
        <v>0</v>
      </c>
      <c r="FF82" s="1" t="b">
        <v>0</v>
      </c>
      <c r="FG82" s="1" t="b">
        <v>0</v>
      </c>
      <c r="FH82" s="1" t="b">
        <v>0</v>
      </c>
      <c r="FI82" s="1" t="b">
        <v>0</v>
      </c>
      <c r="FJ82" s="1" t="str" cm="1">
        <f t="array" ref="FJ82">DeathTraded(FG82,$O$6,DV18,$O$2,DV34,$O$3,DV50,$O$4,DV66,$O$5,DV82,$O$6,$R$2)</f>
        <v>N/A</v>
      </c>
      <c r="FK82" s="1" t="str" cm="1">
        <f t="array" ref="FK82:FP82">DetermineKill(ConvertToRoundTime(secandmin(CT18),secandmin(CJ36),CU18),CS18,CW18,CX18,CV18,CZ18,CY18,$O$6)</f>
        <v>NOLOC</v>
      </c>
      <c r="FL82" s="1" t="b">
        <v>0</v>
      </c>
      <c r="FM82" s="1" t="b">
        <v>0</v>
      </c>
      <c r="FN82" s="1" t="b">
        <v>0</v>
      </c>
      <c r="FO82" s="1" t="b">
        <v>0</v>
      </c>
      <c r="FP82" s="1" t="b">
        <v>0</v>
      </c>
      <c r="FQ82" s="1" t="str" cm="1">
        <f t="array" ref="FQ82">DeathTraded(FN82,$O$6,DV18,$O$2,DV34,$O$3,DV50,$O$4,DV66,$O$5,DV82,$O$6,$R$2)</f>
        <v>N/A</v>
      </c>
      <c r="FR82" s="1" t="str" cm="1">
        <f t="array" ref="FR82:FW82">DetermineKill(ConvertToRoundTime(secandmin(DC18),secandmin(CJ36),DD18),DB18,DF18,DG18,DE18,DI18,DH18,$O$6)</f>
        <v>NOLOC</v>
      </c>
      <c r="FS82" s="1" t="b">
        <v>0</v>
      </c>
      <c r="FT82" s="1" t="b">
        <v>0</v>
      </c>
      <c r="FU82" s="1" t="b">
        <v>0</v>
      </c>
      <c r="FV82" s="1" t="b">
        <v>0</v>
      </c>
      <c r="FW82" s="1" t="b">
        <v>0</v>
      </c>
      <c r="FX82" s="1" t="str" cm="1">
        <f t="array" ref="FX82">DeathTraded(FU82,$O$6,DV18,$O$2,DV34,$O$3,DV50,$O$4,DV66,$O$5,DV82,$O$6,$R$2)</f>
        <v>N/A</v>
      </c>
      <c r="FY82" s="4">
        <v>12</v>
      </c>
      <c r="FZ82" s="1">
        <f t="shared" si="55"/>
        <v>0</v>
      </c>
      <c r="GA82" s="21">
        <f t="shared" si="56"/>
        <v>0</v>
      </c>
      <c r="GB82" s="1" t="str">
        <f t="shared" si="49"/>
        <v>NODATA</v>
      </c>
      <c r="GC82" s="13" t="str">
        <f t="shared" si="57"/>
        <v>NODATA</v>
      </c>
      <c r="GD82" s="1" t="str">
        <f t="shared" si="58"/>
        <v>NODATA</v>
      </c>
      <c r="GE82" s="1" t="str">
        <f t="shared" si="59"/>
        <v>NODATA</v>
      </c>
      <c r="GF82" s="1" t="str" cm="1">
        <f t="array" ref="GF82">IF($V$2=TRUE,IF(CH36="Attack",ConvertToRoundTime(secandmin(CA36),secandmin(CJ36),CB36),""),"NO DATA")</f>
        <v/>
      </c>
      <c r="GG82" s="1" t="str" cm="1">
        <f t="array" ref="GG82">IF($V$2=TRUE,IF(CH36="Attack",ConvertToRoundTime(secandmin(CC36),secandmin(CJ36),CD36),""),"NO DATA")</f>
        <v/>
      </c>
    </row>
    <row r="83" spans="1:189" x14ac:dyDescent="0.25">
      <c r="DP83" s="37"/>
      <c r="DQ83" s="48" t="str">
        <f ca="1">A2</f>
        <v>8_22 Skyscraper_1</v>
      </c>
      <c r="DR83" s="5">
        <v>13</v>
      </c>
      <c r="DS83" s="1" t="str">
        <v>Not Played</v>
      </c>
      <c r="DT83" s="1" t="str">
        <f t="shared" si="50"/>
        <v>Aggro</v>
      </c>
      <c r="DU83" s="1" t="str">
        <v>Not Played</v>
      </c>
      <c r="DV83" s="21" t="b" cm="1">
        <f t="array" ref="DV83">ConvertToRoundTime(secandmin(BI19),secandmin(CJ37),BJ19)</f>
        <v>0</v>
      </c>
      <c r="DW83" s="1" t="b">
        <v>0</v>
      </c>
      <c r="DX83" s="1" t="str" cm="1">
        <f t="array" ref="DX83">DeathRefragged(DV83,MAX(ES19,ES35,ES51,ES67,ES83,FA100),MAX(EZ19,EZ35,EZ51,EZ67,EZ83,FI100),MAX(FG19,FG35,FG51,FG67,FG83,FP100),MAX(FN19,FN35,FN51,FN67,FN83,FW100),MAX(FU19,FU35,FU51,FU67,FU83,GD100),$Q$2)</f>
        <v>N/A</v>
      </c>
      <c r="DY83" s="1" t="str" cm="1">
        <f t="array" ref="DY83">DeathTraded(DV83,DW83,MAX(ES19,ES35,ES51,ES67,ES83,FA100),getKiller(ER19,ER35,ER51,ER67,ER83,FA100),MAX(EZ19,EZ35,EZ51,EZ67,EZ83,FI100),getKiller(EY19,EY35,EY51,EY67,EY83,FH100),MAX(FG19,FG35,FG51,FG67,FG83,FP100),getKiller(FF19,FF35,FF51,FF67,FF83,FO100),MAX(FN19,FN35,FN51,FN67,FN83,FW100),getKiller(FU19,FU35,FU51,FU67,FU83,FV100),MAX(FU19,FU35,FU51,FU67,FU83,GD100),getKiller(FT19,FT35,FT51,FT67,FT83,GC100),$O$2)</f>
        <v>N/A</v>
      </c>
      <c r="DZ83" s="1" t="b">
        <v>0</v>
      </c>
      <c r="EA83" s="1" t="str">
        <v>NOLOC</v>
      </c>
      <c r="EB83" s="1" t="b" cm="1">
        <f t="array" ref="EB83">OpeningDeath(MAX(ES19,ES35,ES51,ES67,ES83),DV83,DV19,DV35,DV51,DV67)</f>
        <v>0</v>
      </c>
      <c r="EC83" s="1" t="b" cm="1">
        <f t="array" ref="EC83">EntryDeath(DV83,DV67,DV51,DV35,DV19)</f>
        <v>0</v>
      </c>
      <c r="ED83" s="5">
        <v>13</v>
      </c>
      <c r="EE83" s="1">
        <f t="shared" si="48"/>
        <v>0</v>
      </c>
      <c r="EF83" s="1">
        <f t="shared" si="51"/>
        <v>0</v>
      </c>
      <c r="EG83" s="1">
        <f t="shared" si="52"/>
        <v>0</v>
      </c>
      <c r="EH83" s="1" cm="1">
        <f t="array" ref="EH83">ExitFrag(EN83,MAX(DV19,DV51,DV67,DV35),MAX(ES19,ES35,ES51,ES67,ES83,FA100),MAX(EZ19,EZ35,EZ51,EZ67,EZ83,FI100),MAX(FG19,FG35,FG51,FG67,FG83,FP100),MAX(FN19,FN35,FN51,FN67,FN83,FW100),MAX(FU19,FU35,FU51,FU67,FU83,GD100))</f>
        <v>0</v>
      </c>
      <c r="EI83" s="1" t="b" cm="1">
        <f t="array" ref="EI83">OpeningKill(ES83,ES67,ES51,ES35,ES19,FB100,DV19,DV35,DV51,DV67,DV83)</f>
        <v>0</v>
      </c>
      <c r="EJ83" s="1" t="b">
        <f t="shared" si="53"/>
        <v>0</v>
      </c>
      <c r="EK83" s="5">
        <v>13</v>
      </c>
      <c r="EL83" s="1" t="b">
        <v>0</v>
      </c>
      <c r="EM83" s="1" t="str" cm="1">
        <f t="array" ref="EM83">IF(NOT(ISBLANK(CP37)),KOST(EE83,DY83,DV83,EL83),"NOT PLAYED")</f>
        <v>NOT PLAYED</v>
      </c>
      <c r="EN83" s="1" t="b" cm="1">
        <f t="array" ref="EN83">OneVX(DV19,DV35,DV51,DV67,DV83)</f>
        <v>0</v>
      </c>
      <c r="EO83" s="1" t="b">
        <f t="shared" si="54"/>
        <v>0</v>
      </c>
      <c r="EP83" s="1" t="str" cm="1">
        <f t="array" ref="EP83:EU83">DetermineKill(ConvertToRoundTime(secandmin(BS19),secandmin(CJ37),BT19),BR19,BV19,BW19,BU19,BY19,BX19,$O$6)</f>
        <v>NOLOC</v>
      </c>
      <c r="EQ83" s="1" t="b">
        <v>0</v>
      </c>
      <c r="ER83" s="1" t="b">
        <v>0</v>
      </c>
      <c r="ES83" s="1" t="b">
        <v>0</v>
      </c>
      <c r="ET83" s="1" t="b">
        <v>0</v>
      </c>
      <c r="EU83" s="1" t="b">
        <v>0</v>
      </c>
      <c r="EV83" s="1" t="str" cm="1">
        <f t="array" ref="EV83">DeathTraded(ES83,$O$6,DV19,$O$2,DV35,$O$3,DV51,$O$4,DV67,$O$5,DV83,$O$6,$R$2)</f>
        <v>N/A</v>
      </c>
      <c r="EW83" s="1" t="str" cm="1">
        <f t="array" ref="EW83:FB83">DetermineKill(ConvertToRoundTime(secandmin(CB19),secandmin(CJ37),CC19),CA19,CE19,CF19,CD19,CH19,CG19,$O$6)</f>
        <v>NOLOC</v>
      </c>
      <c r="EX83" s="1" t="b">
        <v>0</v>
      </c>
      <c r="EY83" s="1" t="b">
        <v>0</v>
      </c>
      <c r="EZ83" s="1" t="b">
        <v>0</v>
      </c>
      <c r="FA83" s="1" t="b">
        <v>0</v>
      </c>
      <c r="FB83" s="1" t="b">
        <v>0</v>
      </c>
      <c r="FC83" s="1" t="str" cm="1">
        <f t="array" ref="FC83">DeathTraded(EZ83,$O$6,DV19,$O$2,DV35,$O$3,DV51,$O$4,DV67,$O$5,DV83,$O$6,$R$2)</f>
        <v>N/A</v>
      </c>
      <c r="FD83" s="1" t="str" cm="1">
        <f t="array" ref="FD83:FI83">DetermineKill(ConvertToRoundTime(secandmin(CK19),secandmin(CJ37),CL19),CJ19,CN19,CO19,CM19,CQ19,CP19,$O$6)</f>
        <v>NOLOC</v>
      </c>
      <c r="FE83" s="1" t="b">
        <v>0</v>
      </c>
      <c r="FF83" s="1" t="b">
        <v>0</v>
      </c>
      <c r="FG83" s="1" t="b">
        <v>0</v>
      </c>
      <c r="FH83" s="1" t="b">
        <v>0</v>
      </c>
      <c r="FI83" s="1" t="b">
        <v>0</v>
      </c>
      <c r="FJ83" s="1" t="str" cm="1">
        <f t="array" ref="FJ83">DeathTraded(FG83,$O$6,DV19,$O$2,DV35,$O$3,DV51,$O$4,DV67,$O$5,DV83,$O$6,$R$2)</f>
        <v>N/A</v>
      </c>
      <c r="FK83" s="1" t="str" cm="1">
        <f t="array" ref="FK83:FP83">DetermineKill(ConvertToRoundTime(secandmin(CT19),secandmin(CJ37),CU19),CS19,CW19,CX19,CV19,CZ19,CY19,$O$6)</f>
        <v>NOLOC</v>
      </c>
      <c r="FL83" s="1" t="b">
        <v>0</v>
      </c>
      <c r="FM83" s="1" t="b">
        <v>0</v>
      </c>
      <c r="FN83" s="1" t="b">
        <v>0</v>
      </c>
      <c r="FO83" s="1" t="b">
        <v>0</v>
      </c>
      <c r="FP83" s="1" t="b">
        <v>0</v>
      </c>
      <c r="FQ83" s="1" t="str" cm="1">
        <f t="array" ref="FQ83">DeathTraded(FN83,$O$6,DV19,$O$2,DV35,$O$3,DV51,$O$4,DV67,$O$5,DV83,$O$6,$R$2)</f>
        <v>N/A</v>
      </c>
      <c r="FR83" s="1" t="str" cm="1">
        <f t="array" ref="FR83:FW83">DetermineKill(ConvertToRoundTime(secandmin(DC19),secandmin(CJ37),DD19),DB19,DF19,DG19,DE19,DI19,DH19,$O$6)</f>
        <v>NOLOC</v>
      </c>
      <c r="FS83" s="1" t="b">
        <v>0</v>
      </c>
      <c r="FT83" s="1" t="b">
        <v>0</v>
      </c>
      <c r="FU83" s="1" t="b">
        <v>0</v>
      </c>
      <c r="FV83" s="1" t="b">
        <v>0</v>
      </c>
      <c r="FW83" s="1" t="b">
        <v>0</v>
      </c>
      <c r="FX83" s="1" t="str" cm="1">
        <f t="array" ref="FX83">DeathTraded(FU83,$O$6,DV19,$O$2,DV35,$O$3,DV51,$O$4,DV67,$O$5,DV83,$O$6,$R$2)</f>
        <v>N/A</v>
      </c>
      <c r="FY83" s="5">
        <v>13</v>
      </c>
      <c r="FZ83" s="1">
        <f t="shared" si="55"/>
        <v>0</v>
      </c>
      <c r="GA83" s="21">
        <f t="shared" si="56"/>
        <v>0</v>
      </c>
      <c r="GB83" s="1" t="str">
        <f t="shared" si="49"/>
        <v>NODATA</v>
      </c>
      <c r="GC83" s="13" t="str">
        <f t="shared" si="57"/>
        <v>NODATA</v>
      </c>
      <c r="GD83" s="1" t="str">
        <f t="shared" si="58"/>
        <v>NODATA</v>
      </c>
      <c r="GE83" s="1" t="str">
        <f t="shared" si="59"/>
        <v>NODATA</v>
      </c>
      <c r="GF83" s="1" t="str" cm="1">
        <f t="array" ref="GF83">IF($V$2=TRUE,IF(CH37="Attack",ConvertToRoundTime(secandmin(CA37),secandmin(CJ37),CB37),""),"NO DATA")</f>
        <v/>
      </c>
      <c r="GG83" s="1" t="str" cm="1">
        <f t="array" ref="GG83">IF($V$2=TRUE,IF(CH37="Attack",ConvertToRoundTime(secandmin(CC37),secandmin(CJ37),CD37),""),"NO DATA")</f>
        <v/>
      </c>
    </row>
    <row r="84" spans="1:189" x14ac:dyDescent="0.25">
      <c r="DP84" s="37"/>
      <c r="DQ84" s="48" t="str">
        <f ca="1">A2</f>
        <v>8_22 Skyscraper_1</v>
      </c>
      <c r="DR84" s="4">
        <v>14</v>
      </c>
      <c r="DS84" s="1" t="str">
        <v>Not Played</v>
      </c>
      <c r="DT84" s="1" t="str">
        <f t="shared" si="50"/>
        <v>Aggro</v>
      </c>
      <c r="DU84" s="1" t="str">
        <v>Not Played</v>
      </c>
      <c r="DV84" s="21" t="b" cm="1">
        <f t="array" ref="DV84">ConvertToRoundTime(secandmin(BI20),secandmin(CJ38),BJ20)</f>
        <v>0</v>
      </c>
      <c r="DW84" s="1" t="b">
        <v>0</v>
      </c>
      <c r="DX84" s="1" t="str" cm="1">
        <f t="array" ref="DX84">DeathRefragged(DV84,MAX(ES20,ES36,ES52,ES68,ES84,FA101),MAX(EZ20,EZ36,EZ52,EZ68,EZ84,FI101),MAX(FG20,FG36,FG52,FG68,FG84,FP101),MAX(FN20,FN36,FN52,FN68,FN84,FW101),MAX(FU20,FU36,FU52,FU68,FU84,GD101),$Q$2)</f>
        <v>N/A</v>
      </c>
      <c r="DY84" s="1" t="str" cm="1">
        <f t="array" ref="DY84">DeathTraded(DV84,DW84,MAX(ES20,ES36,ES52,ES68,ES84,FA101),getKiller(ER20,ER36,ER52,ER68,ER84,FA101),MAX(EZ20,EZ36,EZ52,EZ68,EZ84,FI101),getKiller(EY20,EY36,EY52,EY68,EY84,FH101),MAX(FG20,FG36,FG52,FG68,FG84,FP101),getKiller(FF20,FF36,FF52,FF68,FF84,FO101),MAX(FN20,FN36,FN52,FN68,FN84,FW101),getKiller(FU20,FU36,FU52,FU68,FU84,FV101),MAX(FU20,FU36,FU52,FU68,FU84,GD101),getKiller(FT20,FT36,FT52,FT68,FT84,GC101),$O$2)</f>
        <v>N/A</v>
      </c>
      <c r="DZ84" s="1" t="b">
        <v>0</v>
      </c>
      <c r="EA84" s="1" t="str">
        <v>NOLOC</v>
      </c>
      <c r="EB84" s="1" t="b" cm="1">
        <f t="array" ref="EB84">OpeningDeath(MAX(ES20,ES36,ES52,ES68,ES84),DV84,DV20,DV36,DV52,DV68)</f>
        <v>0</v>
      </c>
      <c r="EC84" s="1" t="b" cm="1">
        <f t="array" ref="EC84">EntryDeath(DV84,DV68,DV52,DV36,DV20)</f>
        <v>0</v>
      </c>
      <c r="ED84" s="4">
        <v>14</v>
      </c>
      <c r="EE84" s="1">
        <f t="shared" si="48"/>
        <v>0</v>
      </c>
      <c r="EF84" s="1">
        <f t="shared" si="51"/>
        <v>0</v>
      </c>
      <c r="EG84" s="1">
        <f t="shared" si="52"/>
        <v>0</v>
      </c>
      <c r="EH84" s="1" cm="1">
        <f t="array" ref="EH84">ExitFrag(EN84,MAX(DV20,DV52,DV68,DV36),MAX(ES20,ES36,ES52,ES68,ES84,FA101),MAX(EZ20,EZ36,EZ52,EZ68,EZ84,FI101),MAX(FG20,FG36,FG52,FG68,FG84,FP101),MAX(FN20,FN36,FN52,FN68,FN84,FW101),MAX(FU20,FU36,FU52,FU68,FU84,GD101))</f>
        <v>0</v>
      </c>
      <c r="EI84" s="1" t="b" cm="1">
        <f t="array" ref="EI84">OpeningKill(ES84,ES68,ES52,ES36,ES20,FB101,DV20,DV36,DV52,DV68,DV84)</f>
        <v>0</v>
      </c>
      <c r="EJ84" s="1" t="b">
        <f t="shared" si="53"/>
        <v>0</v>
      </c>
      <c r="EK84" s="4">
        <v>14</v>
      </c>
      <c r="EL84" s="1" t="b">
        <v>0</v>
      </c>
      <c r="EM84" s="1" t="str" cm="1">
        <f t="array" ref="EM84">IF(NOT(ISBLANK(CP38)),KOST(EE84,DY84,DV84,EL84),"NOT PLAYED")</f>
        <v>NOT PLAYED</v>
      </c>
      <c r="EN84" s="1" t="b" cm="1">
        <f t="array" ref="EN84">OneVX(DV20,DV36,DV52,DV68,DV84)</f>
        <v>0</v>
      </c>
      <c r="EO84" s="1" t="b">
        <f t="shared" si="54"/>
        <v>0</v>
      </c>
      <c r="EP84" s="1" t="str" cm="1">
        <f t="array" ref="EP84:EU84">DetermineKill(ConvertToRoundTime(secandmin(BS20),secandmin(CJ38),BT20),BR20,BV20,BW20,BU20,BY20,BX20,$O$6)</f>
        <v>NOLOC</v>
      </c>
      <c r="EQ84" s="1" t="b">
        <v>0</v>
      </c>
      <c r="ER84" s="1" t="b">
        <v>0</v>
      </c>
      <c r="ES84" s="1" t="b">
        <v>0</v>
      </c>
      <c r="ET84" s="1" t="b">
        <v>0</v>
      </c>
      <c r="EU84" s="1" t="b">
        <v>0</v>
      </c>
      <c r="EV84" s="1" t="str" cm="1">
        <f t="array" ref="EV84">DeathTraded(ES84,$O$6,DV20,$O$2,DV36,$O$3,DV52,$O$4,DV68,$O$5,DV84,$O$6,$R$2)</f>
        <v>N/A</v>
      </c>
      <c r="EW84" s="1" t="str" cm="1">
        <f t="array" ref="EW84:FB84">DetermineKill(ConvertToRoundTime(secandmin(CB20),secandmin(CJ38),CC20),CA20,CE20,CF20,CD20,CH20,CG20,$O$6)</f>
        <v>NOLOC</v>
      </c>
      <c r="EX84" s="1" t="b">
        <v>0</v>
      </c>
      <c r="EY84" s="1" t="b">
        <v>0</v>
      </c>
      <c r="EZ84" s="1" t="b">
        <v>0</v>
      </c>
      <c r="FA84" s="1" t="b">
        <v>0</v>
      </c>
      <c r="FB84" s="1" t="b">
        <v>0</v>
      </c>
      <c r="FC84" s="1" t="str" cm="1">
        <f t="array" ref="FC84">DeathTraded(EZ84,$O$6,DV20,$O$2,DV36,$O$3,DV52,$O$4,DV68,$O$5,DV84,$O$6,$R$2)</f>
        <v>N/A</v>
      </c>
      <c r="FD84" s="1" t="str" cm="1">
        <f t="array" ref="FD84:FI84">DetermineKill(ConvertToRoundTime(secandmin(CK20),secandmin(CJ38),CL20),CJ20,CN20,CO20,CM20,CQ20,CP20,$O$6)</f>
        <v>NOLOC</v>
      </c>
      <c r="FE84" s="1" t="b">
        <v>0</v>
      </c>
      <c r="FF84" s="1" t="b">
        <v>0</v>
      </c>
      <c r="FG84" s="1" t="b">
        <v>0</v>
      </c>
      <c r="FH84" s="1" t="b">
        <v>0</v>
      </c>
      <c r="FI84" s="1" t="b">
        <v>0</v>
      </c>
      <c r="FJ84" s="1" t="str" cm="1">
        <f t="array" ref="FJ84">DeathTraded(FG84,$O$6,DV20,$O$2,DV36,$O$3,DV52,$O$4,DV68,$O$5,DV84,$O$6,$R$2)</f>
        <v>N/A</v>
      </c>
      <c r="FK84" s="1" t="str" cm="1">
        <f t="array" ref="FK84:FP84">DetermineKill(ConvertToRoundTime(secandmin(CT20),secandmin(CJ38),CU20),CS20,CW20,CX20,CV20,CZ20,CY20,$O$6)</f>
        <v>NOLOC</v>
      </c>
      <c r="FL84" s="1" t="b">
        <v>0</v>
      </c>
      <c r="FM84" s="1" t="b">
        <v>0</v>
      </c>
      <c r="FN84" s="1" t="b">
        <v>0</v>
      </c>
      <c r="FO84" s="1" t="b">
        <v>0</v>
      </c>
      <c r="FP84" s="1" t="b">
        <v>0</v>
      </c>
      <c r="FQ84" s="1" t="str" cm="1">
        <f t="array" ref="FQ84">DeathTraded(FN84,$O$6,DV20,$O$2,DV36,$O$3,DV52,$O$4,DV68,$O$5,DV84,$O$6,$R$2)</f>
        <v>N/A</v>
      </c>
      <c r="FR84" s="1" t="str" cm="1">
        <f t="array" ref="FR84:FW84">DetermineKill(ConvertToRoundTime(secandmin(DC20),secandmin(CJ38),DD20),DB20,DF20,DG20,DE20,DI20,DH20,$O$6)</f>
        <v>NOLOC</v>
      </c>
      <c r="FS84" s="1" t="b">
        <v>0</v>
      </c>
      <c r="FT84" s="1" t="b">
        <v>0</v>
      </c>
      <c r="FU84" s="1" t="b">
        <v>0</v>
      </c>
      <c r="FV84" s="1" t="b">
        <v>0</v>
      </c>
      <c r="FW84" s="1" t="b">
        <v>0</v>
      </c>
      <c r="FX84" s="1" t="str" cm="1">
        <f t="array" ref="FX84">DeathTraded(FU84,$O$6,DV20,$O$2,DV36,$O$3,DV52,$O$4,DV68,$O$5,DV84,$O$6,$R$2)</f>
        <v>N/A</v>
      </c>
      <c r="FY84" s="4">
        <v>14</v>
      </c>
      <c r="FZ84" s="1">
        <f t="shared" si="55"/>
        <v>0</v>
      </c>
      <c r="GA84" s="21">
        <f t="shared" si="56"/>
        <v>0</v>
      </c>
      <c r="GB84" s="1" t="str">
        <f t="shared" si="49"/>
        <v>NODATA</v>
      </c>
      <c r="GC84" s="13" t="str">
        <f t="shared" si="57"/>
        <v>NODATA</v>
      </c>
      <c r="GD84" s="1" t="str">
        <f t="shared" si="58"/>
        <v>NODATA</v>
      </c>
      <c r="GE84" s="1" t="str">
        <f t="shared" si="59"/>
        <v>NODATA</v>
      </c>
      <c r="GF84" s="1" t="str" cm="1">
        <f t="array" ref="GF84">IF($V$2=TRUE,IF(CH38="Attack",ConvertToRoundTime(secandmin(CA38),secandmin(CJ38),CB38),""),"NO DATA")</f>
        <v/>
      </c>
      <c r="GG84" s="1" t="str" cm="1">
        <f t="array" ref="GG84">IF($V$2=TRUE,IF(CH38="Attack",ConvertToRoundTime(secandmin(CC38),secandmin(CJ38),CD38),""),"NO DATA")</f>
        <v/>
      </c>
    </row>
    <row r="85" spans="1:189" x14ac:dyDescent="0.25">
      <c r="DP85" s="37"/>
      <c r="DQ85" s="48" t="str">
        <f ca="1">A2</f>
        <v>8_22 Skyscraper_1</v>
      </c>
      <c r="DR85" s="5">
        <v>15</v>
      </c>
      <c r="DS85" s="1" t="str">
        <v>Not Played</v>
      </c>
      <c r="DT85" s="1" t="str">
        <f t="shared" si="50"/>
        <v>Aggro</v>
      </c>
      <c r="DU85" s="1" t="str">
        <v>Not Played</v>
      </c>
      <c r="DV85" s="21" t="b" cm="1">
        <f t="array" ref="DV85">ConvertToRoundTime(secandmin(BI21),secandmin(CJ39),BJ21)</f>
        <v>0</v>
      </c>
      <c r="DW85" s="1" t="b">
        <v>0</v>
      </c>
      <c r="DX85" s="1" t="str" cm="1">
        <f t="array" ref="DX85">DeathRefragged(DV85,MAX(ES21,ES37,ES53,ES69,ES85,FA102),MAX(EZ21,EZ37,EZ53,EZ69,EZ85,FI102),MAX(FG21,FG37,FG53,FG69,FG85,FP102),MAX(FN21,FN37,FN53,FN69,FN85,FW102),MAX(FU21,FU37,FU53,FU69,FU85,GD102),$Q$2)</f>
        <v>N/A</v>
      </c>
      <c r="DY85" s="1" t="str" cm="1">
        <f t="array" ref="DY85">DeathTraded(DV85,DW85,MAX(ES21,ES37,ES53,ES69,ES85,FA102),getKiller(ER21,ER37,ER53,ER69,ER85,FA102),MAX(EZ21,EZ37,EZ53,EZ69,EZ85,FI102),getKiller(EY21,EY37,EY53,EY69,EY85,FH102),MAX(FG21,FG37,FG53,FG69,FG85,FP102),getKiller(FF21,FF37,FF53,FF69,FF85,FO102),MAX(FN21,FN37,FN53,FN69,FN85,FW102),getKiller(FU21,FU37,FU53,FU69,FU85,FV102),MAX(FU21,FU37,FU53,FU69,FU85,GD102),getKiller(FT21,FT37,FT53,FT69,FT85,GC102),$O$2)</f>
        <v>N/A</v>
      </c>
      <c r="DZ85" s="1" t="b">
        <v>0</v>
      </c>
      <c r="EA85" s="1" t="str">
        <v>NOLOC</v>
      </c>
      <c r="EB85" s="1" t="b" cm="1">
        <f t="array" ref="EB85">OpeningDeath(MAX(ES21,ES37,ES53,ES69,ES85),DV85,DV21,DV37,DV53,DV69)</f>
        <v>0</v>
      </c>
      <c r="EC85" s="1" t="b" cm="1">
        <f t="array" ref="EC85">EntryDeath(DV85,DV69,DV53,DV37,DV21)</f>
        <v>0</v>
      </c>
      <c r="ED85" s="5">
        <v>15</v>
      </c>
      <c r="EE85" s="1">
        <f t="shared" si="48"/>
        <v>0</v>
      </c>
      <c r="EF85" s="1">
        <f t="shared" si="51"/>
        <v>0</v>
      </c>
      <c r="EG85" s="1">
        <f t="shared" si="52"/>
        <v>0</v>
      </c>
      <c r="EH85" s="1" cm="1">
        <f t="array" ref="EH85">ExitFrag(EN85,MAX(DV21,DV53,DV69,DV37),MAX(ES21,ES37,ES53,ES69,ES85,FA102),MAX(EZ21,EZ37,EZ53,EZ69,EZ85,FI102),MAX(FG21,FG37,FG53,FG69,FG85,FP102),MAX(FN21,FN37,FN53,FN69,FN85,FW102),MAX(FU21,FU37,FU53,FU69,FU85,GD102))</f>
        <v>0</v>
      </c>
      <c r="EI85" s="1" t="b" cm="1">
        <f t="array" ref="EI85">OpeningKill(ES85,ES69,ES53,ES37,ES21,FB102,DV21,DV37,DV53,DV69,DV85)</f>
        <v>0</v>
      </c>
      <c r="EJ85" s="1" t="b">
        <f t="shared" si="53"/>
        <v>0</v>
      </c>
      <c r="EK85" s="5">
        <v>15</v>
      </c>
      <c r="EL85" s="1" t="b">
        <v>0</v>
      </c>
      <c r="EM85" s="1" t="str" cm="1">
        <f t="array" ref="EM85">IF(NOT(ISBLANK(CP39)),KOST(EE85,DY85,DV85,EL85),"NOT PLAYED")</f>
        <v>NOT PLAYED</v>
      </c>
      <c r="EN85" s="1" t="b" cm="1">
        <f t="array" ref="EN85">OneVX(DV21,DV37,DV53,DV69,DV85)</f>
        <v>0</v>
      </c>
      <c r="EO85" s="1" t="b">
        <f t="shared" si="54"/>
        <v>0</v>
      </c>
      <c r="EP85" s="1" t="str" cm="1">
        <f t="array" ref="EP85:EU85">DetermineKill(ConvertToRoundTime(secandmin(BS21),secandmin(CJ39),BT21),BR21,BV21,BW21,BU21,BY21,BX21,$O$6)</f>
        <v>NOLOC</v>
      </c>
      <c r="EQ85" s="1" t="b">
        <v>0</v>
      </c>
      <c r="ER85" s="1" t="b">
        <v>0</v>
      </c>
      <c r="ES85" s="1" t="b">
        <v>0</v>
      </c>
      <c r="ET85" s="1" t="b">
        <v>0</v>
      </c>
      <c r="EU85" s="1" t="b">
        <v>0</v>
      </c>
      <c r="EV85" s="1" t="str" cm="1">
        <f t="array" ref="EV85">DeathTraded(ES85,$O$6,DV21,$O$2,DV37,$O$3,DV53,$O$4,DV69,$O$5,DV85,$O$6,$R$2)</f>
        <v>N/A</v>
      </c>
      <c r="EW85" s="1" t="str" cm="1">
        <f t="array" ref="EW85:FB85">DetermineKill(ConvertToRoundTime(secandmin(CB21),secandmin(CJ39),CC21),CA21,CE21,CF21,CD21,CH21,CG21,$O$6)</f>
        <v>NOLOC</v>
      </c>
      <c r="EX85" s="1" t="b">
        <v>0</v>
      </c>
      <c r="EY85" s="1" t="b">
        <v>0</v>
      </c>
      <c r="EZ85" s="1" t="b">
        <v>0</v>
      </c>
      <c r="FA85" s="1" t="b">
        <v>0</v>
      </c>
      <c r="FB85" s="1" t="b">
        <v>0</v>
      </c>
      <c r="FC85" s="1" t="str" cm="1">
        <f t="array" ref="FC85">DeathTraded(EZ85,$O$6,DV21,$O$2,DV37,$O$3,DV53,$O$4,DV69,$O$5,DV85,$O$6,$R$2)</f>
        <v>N/A</v>
      </c>
      <c r="FD85" s="1" t="str" cm="1">
        <f t="array" ref="FD85:FI85">DetermineKill(ConvertToRoundTime(secandmin(CK21),secandmin(CJ39),CL21),CJ21,CN21,CO21,CM21,CQ21,CP21,$O$6)</f>
        <v>NOLOC</v>
      </c>
      <c r="FE85" s="1" t="b">
        <v>0</v>
      </c>
      <c r="FF85" s="1" t="b">
        <v>0</v>
      </c>
      <c r="FG85" s="1" t="b">
        <v>0</v>
      </c>
      <c r="FH85" s="1" t="b">
        <v>0</v>
      </c>
      <c r="FI85" s="1" t="b">
        <v>0</v>
      </c>
      <c r="FJ85" s="1" t="str" cm="1">
        <f t="array" ref="FJ85">DeathTraded(FG85,$O$6,DV21,$O$2,DV37,$O$3,DV53,$O$4,DV69,$O$5,DV85,$O$6,$R$2)</f>
        <v>N/A</v>
      </c>
      <c r="FK85" s="1" t="str" cm="1">
        <f t="array" ref="FK85:FP85">DetermineKill(ConvertToRoundTime(secandmin(CT21),secandmin(CJ39),CU21),CS21,CW21,CX21,CV21,CZ21,CY21,$O$6)</f>
        <v>NOLOC</v>
      </c>
      <c r="FL85" s="1" t="b">
        <v>0</v>
      </c>
      <c r="FM85" s="1" t="b">
        <v>0</v>
      </c>
      <c r="FN85" s="1" t="b">
        <v>0</v>
      </c>
      <c r="FO85" s="1" t="b">
        <v>0</v>
      </c>
      <c r="FP85" s="1" t="b">
        <v>0</v>
      </c>
      <c r="FQ85" s="1" t="str" cm="1">
        <f t="array" ref="FQ85">DeathTraded(FN85,$O$6,DV21,$O$2,DV37,$O$3,DV53,$O$4,DV69,$O$5,DV85,$O$6,$R$2)</f>
        <v>N/A</v>
      </c>
      <c r="FR85" s="1" t="str" cm="1">
        <f t="array" ref="FR85:FW85">DetermineKill(ConvertToRoundTime(secandmin(DC21),secandmin(CJ39),DD21),DB21,DF21,DG21,DE21,DI21,DH21,$O$6)</f>
        <v>NOLOC</v>
      </c>
      <c r="FS85" s="1" t="b">
        <v>0</v>
      </c>
      <c r="FT85" s="1" t="b">
        <v>0</v>
      </c>
      <c r="FU85" s="1" t="b">
        <v>0</v>
      </c>
      <c r="FV85" s="1" t="b">
        <v>0</v>
      </c>
      <c r="FW85" s="1" t="b">
        <v>0</v>
      </c>
      <c r="FX85" s="1" t="str" cm="1">
        <f t="array" ref="FX85">DeathTraded(FU85,$O$6,DV21,$O$2,DV37,$O$3,DV53,$O$4,DV69,$O$5,DV85,$O$6,$R$2)</f>
        <v>N/A</v>
      </c>
      <c r="FY85" s="5">
        <v>15</v>
      </c>
      <c r="FZ85" s="1">
        <f t="shared" si="55"/>
        <v>0</v>
      </c>
      <c r="GA85" s="21">
        <f t="shared" si="56"/>
        <v>0</v>
      </c>
      <c r="GB85" s="1" t="str">
        <f t="shared" si="49"/>
        <v>NODATA</v>
      </c>
      <c r="GC85" s="13" t="str">
        <f t="shared" si="57"/>
        <v>NODATA</v>
      </c>
      <c r="GD85" s="1" t="str">
        <f t="shared" si="58"/>
        <v>NODATA</v>
      </c>
      <c r="GE85" s="1" t="str">
        <f t="shared" si="59"/>
        <v>NODATA</v>
      </c>
      <c r="GF85" s="1" t="str" cm="1">
        <f t="array" ref="GF85">IF($V$2=TRUE,IF(CH39="Attack",ConvertToRoundTime(secandmin(CA39),secandmin(CJ39),CB39),""),"NO DATA")</f>
        <v/>
      </c>
      <c r="GG85" s="1" t="str" cm="1">
        <f t="array" ref="GG85">IF($V$2=TRUE,IF(CH39="Attack",ConvertToRoundTime(secandmin(CC39),secandmin(CJ39),CD39),""),"NO DATA")</f>
        <v/>
      </c>
    </row>
    <row r="87" spans="1:189" x14ac:dyDescent="0.25">
      <c r="DP87" s="36" t="s">
        <v>44</v>
      </c>
      <c r="DQ87" s="21" t="s">
        <v>326</v>
      </c>
      <c r="DR87" s="16" t="s">
        <v>46</v>
      </c>
      <c r="DS87" s="21" t="s">
        <v>42</v>
      </c>
      <c r="DT87" s="21" t="s">
        <v>58</v>
      </c>
      <c r="DU87" s="21" t="s">
        <v>57</v>
      </c>
      <c r="DV87" s="21" t="s">
        <v>261</v>
      </c>
      <c r="DW87" s="21" t="s">
        <v>262</v>
      </c>
      <c r="DX87" s="21" t="s">
        <v>263</v>
      </c>
      <c r="DY87" s="21" t="s">
        <v>59</v>
      </c>
      <c r="DZ87" s="21" t="s">
        <v>45</v>
      </c>
      <c r="EA87" s="21" t="s">
        <v>55</v>
      </c>
      <c r="EB87" s="21" t="s">
        <v>286</v>
      </c>
      <c r="EC87" s="21" t="s">
        <v>293</v>
      </c>
      <c r="ED87" s="21" t="s">
        <v>287</v>
      </c>
      <c r="EE87" s="21" t="s">
        <v>284</v>
      </c>
      <c r="EF87" s="21" t="s">
        <v>56</v>
      </c>
      <c r="EG87" s="21" t="s">
        <v>321</v>
      </c>
      <c r="EH87" s="23"/>
      <c r="EV87" s="1" t="s">
        <v>355</v>
      </c>
      <c r="EW87" s="13" t="s">
        <v>304</v>
      </c>
      <c r="EX87" s="21" t="s">
        <v>342</v>
      </c>
      <c r="EY87" s="13" t="s">
        <v>60</v>
      </c>
      <c r="EZ87" s="13" t="s">
        <v>340</v>
      </c>
      <c r="FA87" s="54" t="s">
        <v>311</v>
      </c>
      <c r="FB87" s="53" t="s">
        <v>312</v>
      </c>
      <c r="FC87" s="13" t="s">
        <v>41</v>
      </c>
      <c r="FD87" s="13" t="s">
        <v>338</v>
      </c>
      <c r="FE87" s="13" t="s">
        <v>339</v>
      </c>
      <c r="FF87" s="50" t="s">
        <v>61</v>
      </c>
      <c r="FG87" s="49" t="s">
        <v>340</v>
      </c>
      <c r="FH87" s="49" t="s">
        <v>313</v>
      </c>
      <c r="FI87" s="50" t="s">
        <v>314</v>
      </c>
      <c r="FJ87" s="21" t="s">
        <v>41</v>
      </c>
      <c r="FK87" s="21" t="s">
        <v>338</v>
      </c>
      <c r="FL87" s="21" t="s">
        <v>339</v>
      </c>
      <c r="FM87" s="53" t="s">
        <v>63</v>
      </c>
      <c r="FN87" s="54" t="s">
        <v>340</v>
      </c>
      <c r="FO87" s="54" t="s">
        <v>315</v>
      </c>
      <c r="FP87" s="53" t="s">
        <v>316</v>
      </c>
      <c r="FQ87" s="13" t="s">
        <v>41</v>
      </c>
      <c r="FR87" s="13" t="s">
        <v>338</v>
      </c>
      <c r="FS87" s="13" t="s">
        <v>339</v>
      </c>
      <c r="FT87" s="50" t="s">
        <v>64</v>
      </c>
      <c r="FU87" s="49" t="s">
        <v>340</v>
      </c>
      <c r="FV87" s="49" t="s">
        <v>317</v>
      </c>
      <c r="FW87" s="50" t="s">
        <v>318</v>
      </c>
      <c r="FX87" s="21" t="s">
        <v>41</v>
      </c>
      <c r="FY87" s="21" t="s">
        <v>338</v>
      </c>
      <c r="FZ87" s="21" t="s">
        <v>339</v>
      </c>
      <c r="GA87" s="53" t="s">
        <v>65</v>
      </c>
      <c r="GB87" s="54" t="s">
        <v>340</v>
      </c>
      <c r="GC87" s="54" t="s">
        <v>319</v>
      </c>
      <c r="GD87" s="53" t="s">
        <v>320</v>
      </c>
      <c r="GE87" s="13" t="s">
        <v>41</v>
      </c>
      <c r="GF87" s="13" t="s">
        <v>338</v>
      </c>
      <c r="GG87" s="13" t="s">
        <v>339</v>
      </c>
    </row>
    <row r="88" spans="1:189" x14ac:dyDescent="0.25">
      <c r="DP88" s="23"/>
      <c r="DQ88" s="21" t="str">
        <f ca="1">A2</f>
        <v>8_22 Skyscraper_1</v>
      </c>
      <c r="DR88" s="5">
        <v>1</v>
      </c>
      <c r="DS88" s="21" cm="1">
        <f t="array" ref="DS88:DS102">IF(ISBLANK(AC25:AC39),"",AC25:AC39)</f>
        <v>0</v>
      </c>
      <c r="DT88" s="21" t="str" cm="1">
        <f t="array" ref="DT88:DT102">IF(ISBLANK(AI25:AI39),"",AI25:AI39)</f>
        <v/>
      </c>
      <c r="DU88" s="21" t="str" cm="1">
        <f t="array" ref="DU88:DU102">IF(ISBLANK(AJ25:AJ39),"",AJ25:AJ39)</f>
        <v/>
      </c>
      <c r="DV88" s="1" t="b" cm="1">
        <f t="array" ref="DV88">OpeningPick(MIN(IF(ES7=FALSE,300,ES7),IF(ES23=FALSE,300,ES23),IF(ES39=FALSE,300,ES39),IF(ES55=FALSE,300,ES55),IF(ES71=FALSE,300,ES71),IF(FB88=FALSE,300,FB88)),DV7,DV23,DV39,DV55,DV71)</f>
        <v>1</v>
      </c>
      <c r="DW88" s="21" t="b">
        <f t="shared" ref="DW88:DW102" si="60">IF(NOT(ISBLANK(CJ25))*AND(CM25="Won"),TRUE,FALSE)</f>
        <v>0</v>
      </c>
      <c r="DX88" s="21" cm="1">
        <f t="array" ref="DX88">ConvertToRoundTime(secandmin(CK25),secandmin(CJ25),NOT(ISBLANK(CJ25)))</f>
        <v>151</v>
      </c>
      <c r="DY88" s="13" t="b" cm="1">
        <f t="array" ref="DY88">FiveVThreeThrown(MAX(ES7,ES23,ES39,ES55,ES71,FA88),MAX(EZ7,EZ23,EZ39,EZ55,EZ71,FI88),DV7,DV23,DV39,DV55,DV71,EF88)</f>
        <v>0</v>
      </c>
      <c r="DZ88" s="1" t="b">
        <f>OR(EO7,EO23,EO39,EO55,EO71)</f>
        <v>0</v>
      </c>
      <c r="EA88" s="21" t="str" cm="1">
        <f t="array" ref="EA88:EA102">IF($CH$25:$CH$39=0,"Not Played", $CH$25:$CH$39)</f>
        <v>Attack</v>
      </c>
      <c r="EB88" s="21" cm="1">
        <f t="array" ref="EB88">ConvertToRoundTime(secandmin(CK25),secandmin(CJ25),NOT(ISBLANK(CJ25)))</f>
        <v>151</v>
      </c>
      <c r="EC88" s="21" t="b" cm="1">
        <f t="array" ref="EC88">IF(ISERROR(180-secandmin(CJ25)),FALSE,180-secandmin(CJ25))</f>
        <v>0</v>
      </c>
      <c r="ED88" s="21" t="str" cm="1">
        <f t="array" ref="ED88:ED102">IF($CL$25:$CL$39=0,"Unspecified", $CL$25:$CL$39)</f>
        <v>Unspecified</v>
      </c>
      <c r="EE88" s="21" t="str" cm="1">
        <f t="array" ref="EE88:EE102">IF($CI$25:$CI$39=0,"Not Played", $CI$25:$CI$39)</f>
        <v>TeaKaraoke</v>
      </c>
      <c r="EF88" s="21" t="str" cm="1">
        <f t="array" ref="EF88:EF102">IF($CM$25:$CM$39=0,"Not Played", $CM$25:$CM$39)</f>
        <v>Won</v>
      </c>
      <c r="EG88" s="1"/>
      <c r="EH88" s="23"/>
      <c r="EV88" s="1" t="b">
        <f>IF(NOT(DY88="NP"),TRUE,FALSE)</f>
        <v>1</v>
      </c>
      <c r="EW88" s="1" t="str">
        <f ca="1">A2</f>
        <v>8_22 Skyscraper_1</v>
      </c>
      <c r="EX88" s="1" t="b" cm="1">
        <f t="array" ref="EX88">OpeningKill(FB88,ES71,ES55,ES39,ES23,ES7,DV7,DV23,DV39,DV55,DV71)</f>
        <v>0</v>
      </c>
      <c r="EY88" s="1" t="str" cm="1">
        <f t="array" ref="EY88:FD88">DetermineKill(ConvertToRoundTime(secandmin(BS7),secandmin(CJ25),BT7),BR7,BV7,BW7,BU7,BY7,BX7,$O$7)</f>
        <v>NOLOC</v>
      </c>
      <c r="EZ88" s="1" t="b">
        <v>0</v>
      </c>
      <c r="FA88" s="1" t="b">
        <v>0</v>
      </c>
      <c r="FB88" s="1" t="b">
        <v>0</v>
      </c>
      <c r="FC88" s="1" t="b">
        <v>0</v>
      </c>
      <c r="FD88" s="1" t="b">
        <v>0</v>
      </c>
      <c r="FE88" s="1" t="str" cm="1">
        <f t="array" ref="FE88">DeathTraded(FB88,$O$7,DV7,$O$2,DV23,$O$3,DV39,$O$4,DV55,$O$5,DV71,$O$6,$R$2)</f>
        <v>N/A</v>
      </c>
      <c r="FF88" s="1" t="str" cm="1">
        <f t="array" ref="FF88:FK88">DetermineKill(ConvertToRoundTime(secandmin(CB7),secandmin(CJ25),CC7),CA7,CE7,CF7,CD7,CH7,CG7,$O$7)</f>
        <v>NOLOC</v>
      </c>
      <c r="FG88" s="1" t="b">
        <v>0</v>
      </c>
      <c r="FH88" s="1" t="b">
        <v>0</v>
      </c>
      <c r="FI88" s="1" t="b">
        <v>0</v>
      </c>
      <c r="FJ88" s="1" t="b">
        <v>0</v>
      </c>
      <c r="FK88" s="1" t="b">
        <v>0</v>
      </c>
      <c r="FL88" s="1" t="str" cm="1">
        <f t="array" ref="FL88">DeathTraded(FI88,$O$7,DV7,$O$2,DV23,$O$3,DV39,$O$4,DV55,$O$5,DV71,$O$6,$R$2)</f>
        <v>N/A</v>
      </c>
      <c r="FM88" s="1" t="str" cm="1">
        <f t="array" ref="FM88:FR88">DetermineKill(ConvertToRoundTime(secandmin(CK7),secandmin(CJ25),CL7),CJ7,CN7,CO7,CM7,CQ7,CP7,$O$7)</f>
        <v>NOLOC</v>
      </c>
      <c r="FN88" s="1" t="b">
        <v>0</v>
      </c>
      <c r="FO88" s="1" t="b">
        <v>0</v>
      </c>
      <c r="FP88" s="1" t="b">
        <v>0</v>
      </c>
      <c r="FQ88" s="1" t="b">
        <v>0</v>
      </c>
      <c r="FR88" s="1" t="b">
        <v>0</v>
      </c>
      <c r="FS88" s="1" t="str" cm="1">
        <f t="array" ref="FS88">DeathTraded(FP88,$O$7,DV7,$O$2,DV23,$O$3,DV39,$O$4,DV55,$O$5,DV71,$O$6,$R$2)</f>
        <v>N/A</v>
      </c>
      <c r="FT88" s="1" t="str" cm="1">
        <f t="array" ref="FT88:FY88">DetermineKill(ConvertToRoundTime(secandmin(CT7),secandmin(CJ25),CU7),CS7,CW7,CX7,CV7,CZ7,CY7,$O$7)</f>
        <v>NOLOC</v>
      </c>
      <c r="FU88" s="1" t="b">
        <v>0</v>
      </c>
      <c r="FV88" s="1" t="b">
        <v>0</v>
      </c>
      <c r="FW88" s="1" t="b">
        <v>0</v>
      </c>
      <c r="FX88" s="1" t="b">
        <v>0</v>
      </c>
      <c r="FY88" s="1" t="b">
        <v>0</v>
      </c>
      <c r="FZ88" s="1" t="str" cm="1">
        <f t="array" ref="FZ88">DeathTraded(FW88,$O$7,DV7,$O$2,DV23,$O$3,DV39,$O$4,DV55,$O$5,DV71,$O$6,$R$2)</f>
        <v>N/A</v>
      </c>
      <c r="GA88" s="1" t="str" cm="1">
        <f t="array" ref="GA88:GF88">DetermineKill(ConvertToRoundTime(secandmin(DC7),secandmin(CJ25),DD7),DB7,DF7,DG7,DE7,DI7,DH7,$O$7)</f>
        <v>NOLOC</v>
      </c>
      <c r="GB88" s="1" t="b">
        <v>0</v>
      </c>
      <c r="GC88" s="1" t="b">
        <v>0</v>
      </c>
      <c r="GD88" s="1" t="b">
        <v>0</v>
      </c>
      <c r="GE88" s="1" t="b">
        <v>0</v>
      </c>
      <c r="GF88" s="1" t="b">
        <v>0</v>
      </c>
      <c r="GG88" s="1" t="str" cm="1">
        <f t="array" ref="GG88">DeathTraded(GD88,$O$7,DV7,$O$2,DV23,$O$3,DV39,$O$4,DV55,$O$5,DV71,$O$6,$R$2)</f>
        <v>N/A</v>
      </c>
    </row>
    <row r="89" spans="1:189" x14ac:dyDescent="0.25">
      <c r="DP89" s="23"/>
      <c r="DQ89" s="21" t="str">
        <f ca="1">A2</f>
        <v>8_22 Skyscraper_1</v>
      </c>
      <c r="DR89" s="4">
        <v>2</v>
      </c>
      <c r="DS89" s="21">
        <v>1</v>
      </c>
      <c r="DT89" s="21" t="str">
        <v/>
      </c>
      <c r="DU89" s="21" t="str">
        <v/>
      </c>
      <c r="DV89" s="1" t="b" cm="1">
        <f t="array" ref="DV89">OpeningPick(MIN(IF(ES8=FALSE,300,ES8),IF(ES24=FALSE,300,ES24),IF(ES40=FALSE,300,ES40),IF(ES56=FALSE,300,ES56),IF(ES72=FALSE,300,ES72),IF(FB89=FALSE,300,FB89)),DV8,DV24,DV40,DV56,DV72)</f>
        <v>1</v>
      </c>
      <c r="DW89" s="21" t="b">
        <f t="shared" si="60"/>
        <v>1</v>
      </c>
      <c r="DX89" s="21" cm="1">
        <f t="array" ref="DX89">ConvertToRoundTime(secandmin(CK26),secandmin(CJ26),NOT(ISBLANK(CJ26)))</f>
        <v>179</v>
      </c>
      <c r="DY89" s="13" t="b" cm="1">
        <f t="array" ref="DY89">FiveVThreeThrown(MAX(ES8,ES24,ES40,ES56,ES72,FA89),MAX(EZ8,EZ24,EZ40,EZ56,EZ72,FI89),DV8,DV24,DV40,DV56,DV72,EF89)</f>
        <v>0</v>
      </c>
      <c r="DZ89" s="1" t="b">
        <f t="shared" ref="DZ89:DZ102" si="61">OR(EO8,EO24,EO40,EO56,EO72)</f>
        <v>0</v>
      </c>
      <c r="EA89" s="21" t="str">
        <v>Attack</v>
      </c>
      <c r="EB89" s="21" cm="1">
        <f t="array" ref="EB89">ConvertToRoundTime(secandmin(CK26),secandmin(CJ26),NOT(ISBLANK(CJ26)))</f>
        <v>179</v>
      </c>
      <c r="EC89" s="21" cm="1">
        <f t="array" ref="EC89">IF(ISERROR(180-secandmin(CJ26)),FALSE,180-secandmin(CJ26))</f>
        <v>170</v>
      </c>
      <c r="ED89" s="21" t="str">
        <v>Unspecified</v>
      </c>
      <c r="EE89" s="21" t="str">
        <v>TeaKaraoke</v>
      </c>
      <c r="EF89" s="21" t="str">
        <v>Won</v>
      </c>
      <c r="EG89" s="1"/>
      <c r="EH89" s="23"/>
      <c r="EV89" s="1" t="b">
        <f t="shared" ref="EV89:EV102" si="62">IF(NOT(DY89="NP"),TRUE,FALSE)</f>
        <v>1</v>
      </c>
      <c r="EW89" s="1" t="str">
        <f ca="1">$A$2</f>
        <v>8_22 Skyscraper_1</v>
      </c>
      <c r="EX89" s="1" t="b" cm="1">
        <f t="array" ref="EX89">OpeningKill(FB89,ES72,ES56,ES40,ES24,ES8,DV8,DV24,DV40,DV56,DV72)</f>
        <v>0</v>
      </c>
      <c r="EY89" s="1" t="str" cm="1">
        <f t="array" ref="EY89:FD89">DetermineKill(ConvertToRoundTime(secandmin(BS8),secandmin(CJ26),BT8),BR8,BV8,BW8,BU8,BY8,BX8,$O$7)</f>
        <v>NOLOC</v>
      </c>
      <c r="EZ89" s="1" t="b">
        <v>0</v>
      </c>
      <c r="FA89" s="1" t="b">
        <v>0</v>
      </c>
      <c r="FB89" s="1" t="b">
        <v>0</v>
      </c>
      <c r="FC89" s="1" t="b">
        <v>0</v>
      </c>
      <c r="FD89" s="1" t="b">
        <v>0</v>
      </c>
      <c r="FE89" s="1" t="str" cm="1">
        <f t="array" ref="FE89">DeathTraded(FB89,$O$7,DV8,$O$2,DV24,$O$3,DV40,$O$4,DV56,$O$5,DV72,$O$6,$R$2)</f>
        <v>N/A</v>
      </c>
      <c r="FF89" s="1" t="str" cm="1">
        <f t="array" ref="FF89:FK89">DetermineKill(ConvertToRoundTime(secandmin(CB8),secandmin(CJ26),CC8),CA8,CE8,CF8,CD8,CH8,CG8,$O$7)</f>
        <v>NOLOC</v>
      </c>
      <c r="FG89" s="1" t="b">
        <v>0</v>
      </c>
      <c r="FH89" s="1" t="b">
        <v>0</v>
      </c>
      <c r="FI89" s="1" t="b">
        <v>0</v>
      </c>
      <c r="FJ89" s="1" t="b">
        <v>0</v>
      </c>
      <c r="FK89" s="1" t="b">
        <v>0</v>
      </c>
      <c r="FL89" s="1" t="str" cm="1">
        <f t="array" ref="FL89">DeathTraded(FI89,$O$7,DV8,$O$2,DV24,$O$3,DV40,$O$4,DV56,$O$5,DV72,$O$6,$R$2)</f>
        <v>N/A</v>
      </c>
      <c r="FM89" s="1" t="str" cm="1">
        <f t="array" ref="FM89:FR89">DetermineKill(ConvertToRoundTime(secandmin(CK8),secandmin(CJ26),CL8),CJ8,CN8,CO8,CM8,CQ8,CP8,$O$7)</f>
        <v>NOLOC</v>
      </c>
      <c r="FN89" s="1" t="b">
        <v>0</v>
      </c>
      <c r="FO89" s="1" t="b">
        <v>0</v>
      </c>
      <c r="FP89" s="1" t="b">
        <v>0</v>
      </c>
      <c r="FQ89" s="1" t="b">
        <v>0</v>
      </c>
      <c r="FR89" s="1" t="b">
        <v>0</v>
      </c>
      <c r="FS89" s="1" t="str" cm="1">
        <f t="array" ref="FS89">DeathTraded(FP89,$O$7,DV8,$O$2,DV24,$O$3,DV40,$O$4,DV56,$O$5,DV72,$O$6,$R$2)</f>
        <v>N/A</v>
      </c>
      <c r="FT89" s="1" t="str" cm="1">
        <f t="array" ref="FT89:FY89">DetermineKill(ConvertToRoundTime(secandmin(CT8),secandmin(CJ26),CU8),CS8,CW8,CX8,CV8,CZ8,CY8,$O$7)</f>
        <v>NOLOC</v>
      </c>
      <c r="FU89" s="1" t="b">
        <v>0</v>
      </c>
      <c r="FV89" s="1" t="b">
        <v>0</v>
      </c>
      <c r="FW89" s="1" t="b">
        <v>0</v>
      </c>
      <c r="FX89" s="1" t="b">
        <v>0</v>
      </c>
      <c r="FY89" s="1" t="b">
        <v>0</v>
      </c>
      <c r="FZ89" s="1" t="str" cm="1">
        <f t="array" ref="FZ89">DeathTraded(FW89,$O$7,DV8,$O$2,DV24,$O$3,DV40,$O$4,DV56,$O$5,DV72,$O$6,$R$2)</f>
        <v>N/A</v>
      </c>
      <c r="GA89" s="1" t="str" cm="1">
        <f t="array" ref="GA89:GF89">DetermineKill(ConvertToRoundTime(secandmin(DC8),secandmin(CJ26),DD8),DB8,DF8,DG8,DE8,DI8,DH8,$O$7)</f>
        <v>NOLOC</v>
      </c>
      <c r="GB89" s="1" t="b">
        <v>0</v>
      </c>
      <c r="GC89" s="1" t="b">
        <v>0</v>
      </c>
      <c r="GD89" s="1" t="b">
        <v>0</v>
      </c>
      <c r="GE89" s="1" t="b">
        <v>0</v>
      </c>
      <c r="GF89" s="1" t="b">
        <v>0</v>
      </c>
      <c r="GG89" s="1" t="str" cm="1">
        <f t="array" ref="GG89">DeathTraded(GD89,$O$7,DV8,$O$2,DV24,$O$3,DV40,$O$4,DV56,$O$5,DV72,$O$6,$R$2)</f>
        <v>N/A</v>
      </c>
    </row>
    <row r="90" spans="1:189" x14ac:dyDescent="0.25">
      <c r="DP90" s="23"/>
      <c r="DQ90" s="21" t="str">
        <f ca="1">A2</f>
        <v>8_22 Skyscraper_1</v>
      </c>
      <c r="DR90" s="5">
        <v>3</v>
      </c>
      <c r="DS90" s="21">
        <v>1</v>
      </c>
      <c r="DT90" s="21" t="str">
        <v/>
      </c>
      <c r="DU90" s="21" t="str">
        <v/>
      </c>
      <c r="DV90" s="1" t="b" cm="1">
        <f t="array" ref="DV90">OpeningPick(MIN(IF(ES9=FALSE,300,ES9),IF(ES25=FALSE,300,ES25),IF(ES41=FALSE,300,ES41),IF(ES57=FALSE,300,ES57),IF(ES73=FALSE,300,ES73),IF(FB90=FALSE,300,FB90)),DV9,DV25,DV41,DV57,DV73)</f>
        <v>0</v>
      </c>
      <c r="DW90" s="21" t="b">
        <f t="shared" si="60"/>
        <v>0</v>
      </c>
      <c r="DX90" s="21" cm="1">
        <f t="array" ref="DX90">ConvertToRoundTime(secandmin(CK27),secandmin(CJ27),NOT(ISBLANK(CJ27)))</f>
        <v>161</v>
      </c>
      <c r="DY90" s="13" t="b" cm="1">
        <f t="array" ref="DY90">FiveVThreeThrown(MAX(ES9,ES25,ES41,ES57,ES73,FA90),MAX(EZ9,EZ25,EZ41,EZ57,EZ73,FI90),DV9,DV25,DV41,DV57,DV73,EF90)</f>
        <v>0</v>
      </c>
      <c r="DZ90" s="1" t="b">
        <f t="shared" si="61"/>
        <v>0</v>
      </c>
      <c r="EA90" s="21" t="str">
        <v>Attack</v>
      </c>
      <c r="EB90" s="21" cm="1">
        <f t="array" ref="EB90">ConvertToRoundTime(secandmin(CK27),secandmin(CJ27),NOT(ISBLANK(CJ27)))</f>
        <v>161</v>
      </c>
      <c r="EC90" s="21" t="b" cm="1">
        <f t="array" ref="EC90">IF(ISERROR(180-secandmin(CJ27)),FALSE,180-secandmin(CJ27))</f>
        <v>0</v>
      </c>
      <c r="ED90" s="21" t="str">
        <v>Unspecified</v>
      </c>
      <c r="EE90" s="21" t="str">
        <v>BBQKitchen</v>
      </c>
      <c r="EF90" s="21" t="str">
        <v>Lost</v>
      </c>
      <c r="EG90" s="1"/>
      <c r="EH90" s="23"/>
      <c r="EV90" s="1" t="b">
        <f t="shared" si="62"/>
        <v>1</v>
      </c>
      <c r="EW90" s="1" t="str">
        <f t="shared" ref="EW90:EW102" ca="1" si="63">$A$2</f>
        <v>8_22 Skyscraper_1</v>
      </c>
      <c r="EX90" s="1" t="b" cm="1">
        <f t="array" ref="EX90">OpeningKill(FB90,ES73,ES57,ES41,ES25,ES9,DV9,DV25,DV41,DV57,DV73)</f>
        <v>0</v>
      </c>
      <c r="EY90" s="1" t="str" cm="1">
        <f t="array" ref="EY90:FD90">DetermineKill(ConvertToRoundTime(secandmin(BS9),secandmin(CJ27),BT9),BR9,BV9,BW9,BU9,BY9,BX9,$O$7)</f>
        <v>NOLOC</v>
      </c>
      <c r="EZ90" s="1" t="b">
        <v>0</v>
      </c>
      <c r="FA90" s="1" t="b">
        <v>0</v>
      </c>
      <c r="FB90" s="1" t="b">
        <v>0</v>
      </c>
      <c r="FC90" s="1" t="b">
        <v>0</v>
      </c>
      <c r="FD90" s="1" t="b">
        <v>0</v>
      </c>
      <c r="FE90" s="1" t="str" cm="1">
        <f t="array" ref="FE90">DeathTraded(FB90,$O$7,DV9,$O$2,DV25,$O$3,DV41,$O$4,DV57,$O$5,DV73,$O$6,$R$2)</f>
        <v>N/A</v>
      </c>
      <c r="FF90" s="1" t="str" cm="1">
        <f t="array" ref="FF90:FK90">DetermineKill(ConvertToRoundTime(secandmin(CB9),secandmin(CJ27),CC9),CA9,CE9,CF9,CD9,CH9,CG9,$O$7)</f>
        <v>NOLOC</v>
      </c>
      <c r="FG90" s="1" t="b">
        <v>0</v>
      </c>
      <c r="FH90" s="1" t="b">
        <v>0</v>
      </c>
      <c r="FI90" s="1" t="b">
        <v>0</v>
      </c>
      <c r="FJ90" s="1" t="b">
        <v>0</v>
      </c>
      <c r="FK90" s="1" t="b">
        <v>0</v>
      </c>
      <c r="FL90" s="1" t="str" cm="1">
        <f t="array" ref="FL90">DeathTraded(FI90,$O$7,DV9,$O$2,DV25,$O$3,DV41,$O$4,DV57,$O$5,DV73,$O$6,$R$2)</f>
        <v>N/A</v>
      </c>
      <c r="FM90" s="1" t="str" cm="1">
        <f t="array" ref="FM90:FR90">DetermineKill(ConvertToRoundTime(secandmin(CK9),secandmin(CJ27),CL9),CJ9,CN9,CO9,CM9,CQ9,CP9,$O$7)</f>
        <v>NOLOC</v>
      </c>
      <c r="FN90" s="1" t="b">
        <v>0</v>
      </c>
      <c r="FO90" s="1" t="b">
        <v>0</v>
      </c>
      <c r="FP90" s="1" t="b">
        <v>0</v>
      </c>
      <c r="FQ90" s="1" t="b">
        <v>0</v>
      </c>
      <c r="FR90" s="1" t="b">
        <v>0</v>
      </c>
      <c r="FS90" s="1" t="str" cm="1">
        <f t="array" ref="FS90">DeathTraded(FP90,$O$7,DV9,$O$2,DV25,$O$3,DV41,$O$4,DV57,$O$5,DV73,$O$6,$R$2)</f>
        <v>N/A</v>
      </c>
      <c r="FT90" s="1" t="str" cm="1">
        <f t="array" ref="FT90:FY90">DetermineKill(ConvertToRoundTime(secandmin(CT9),secandmin(CJ27),CU9),CS9,CW9,CX9,CV9,CZ9,CY9,$O$7)</f>
        <v>NOLOC</v>
      </c>
      <c r="FU90" s="1" t="b">
        <v>0</v>
      </c>
      <c r="FV90" s="1" t="b">
        <v>0</v>
      </c>
      <c r="FW90" s="1" t="b">
        <v>0</v>
      </c>
      <c r="FX90" s="1" t="b">
        <v>0</v>
      </c>
      <c r="FY90" s="1" t="b">
        <v>0</v>
      </c>
      <c r="FZ90" s="1" t="str" cm="1">
        <f t="array" ref="FZ90">DeathTraded(FW90,$O$7,DV9,$O$2,DV25,$O$3,DV41,$O$4,DV57,$O$5,DV73,$O$6,$R$2)</f>
        <v>N/A</v>
      </c>
      <c r="GA90" s="1" t="str" cm="1">
        <f t="array" ref="GA90:GF90">DetermineKill(ConvertToRoundTime(secandmin(DC9),secandmin(CJ27),DD9),DB9,DF9,DG9,DE9,DI9,DH9,$O$7)</f>
        <v>NOLOC</v>
      </c>
      <c r="GB90" s="1" t="b">
        <v>0</v>
      </c>
      <c r="GC90" s="1" t="b">
        <v>0</v>
      </c>
      <c r="GD90" s="1" t="b">
        <v>0</v>
      </c>
      <c r="GE90" s="1" t="b">
        <v>0</v>
      </c>
      <c r="GF90" s="1" t="b">
        <v>0</v>
      </c>
      <c r="GG90" s="1" t="str" cm="1">
        <f t="array" ref="GG90">DeathTraded(GD90,$O$7,DV9,$O$2,DV25,$O$3,DV41,$O$4,DV57,$O$5,DV73,$O$6,$R$2)</f>
        <v>N/A</v>
      </c>
    </row>
    <row r="91" spans="1:189" x14ac:dyDescent="0.25">
      <c r="DP91" s="23"/>
      <c r="DQ91" s="21" t="str">
        <f ca="1">A2</f>
        <v>8_22 Skyscraper_1</v>
      </c>
      <c r="DR91" s="4">
        <v>4</v>
      </c>
      <c r="DS91" s="21">
        <v>0</v>
      </c>
      <c r="DT91" s="21" t="str">
        <v/>
      </c>
      <c r="DU91" s="21" t="str">
        <v/>
      </c>
      <c r="DV91" s="1" t="b" cm="1">
        <f t="array" ref="DV91">OpeningPick(MIN(IF(ES10=FALSE,300,ES10),IF(ES26=FALSE,300,ES26),IF(ES42=FALSE,300,ES42),IF(ES58=FALSE,300,ES58),IF(ES74=FALSE,300,ES74),IF(FB91=FALSE,300,FB91)),DV10,DV26,DV42,DV58,DV74)</f>
        <v>0</v>
      </c>
      <c r="DW91" s="21" t="b">
        <f t="shared" si="60"/>
        <v>0</v>
      </c>
      <c r="DX91" s="21" cm="1">
        <f t="array" ref="DX91">ConvertToRoundTime(secandmin(CK28),secandmin(CJ28),NOT(ISBLANK(CJ28)))</f>
        <v>152</v>
      </c>
      <c r="DY91" s="13" t="b" cm="1">
        <f t="array" ref="DY91">FiveVThreeThrown(MAX(ES10,ES26,ES42,ES58,ES74,FA91),MAX(EZ10,EZ26,EZ42,EZ58,EZ74,FI91),DV10,DV26,DV42,DV58,DV74,EF91)</f>
        <v>0</v>
      </c>
      <c r="DZ91" s="1" t="b">
        <f t="shared" si="61"/>
        <v>0</v>
      </c>
      <c r="EA91" s="21" t="str">
        <v>Attack</v>
      </c>
      <c r="EB91" s="21" cm="1">
        <f t="array" ref="EB91">ConvertToRoundTime(secandmin(CK28),secandmin(CJ28),NOT(ISBLANK(CJ28)))</f>
        <v>152</v>
      </c>
      <c r="EC91" s="21" t="b" cm="1">
        <f t="array" ref="EC91">IF(ISERROR(180-secandmin(CJ28)),FALSE,180-secandmin(CJ28))</f>
        <v>0</v>
      </c>
      <c r="ED91" s="21" t="str">
        <v>Unspecified</v>
      </c>
      <c r="EE91" s="21" t="str">
        <v>WorkExibition</v>
      </c>
      <c r="EF91" s="21" t="str">
        <v>Won</v>
      </c>
      <c r="EG91" s="1"/>
      <c r="EH91" s="23"/>
      <c r="EV91" s="1" t="b">
        <f t="shared" si="62"/>
        <v>1</v>
      </c>
      <c r="EW91" s="1" t="str">
        <f t="shared" ca="1" si="63"/>
        <v>8_22 Skyscraper_1</v>
      </c>
      <c r="EX91" s="1" t="b" cm="1">
        <f t="array" ref="EX91">OpeningKill(FB91,ES74,ES58,ES42,ES26,ES10,DV10,DV26,DV42,DV58,DV74)</f>
        <v>0</v>
      </c>
      <c r="EY91" s="1" t="str" cm="1">
        <f t="array" ref="EY91:FD91">DetermineKill(ConvertToRoundTime(secandmin(BS10),secandmin(CJ28),BT10),BR10,BV10,BW10,BU10,BY10,BX10,$O$7)</f>
        <v>NOLOC</v>
      </c>
      <c r="EZ91" s="1" t="b">
        <v>0</v>
      </c>
      <c r="FA91" s="1" t="b">
        <v>0</v>
      </c>
      <c r="FB91" s="1" t="b">
        <v>0</v>
      </c>
      <c r="FC91" s="1" t="b">
        <v>0</v>
      </c>
      <c r="FD91" s="1" t="b">
        <v>0</v>
      </c>
      <c r="FE91" s="1" t="str" cm="1">
        <f t="array" ref="FE91">DeathTraded(FB91,$O$7,DV10,$O$2,DV26,$O$3,DV42,$O$4,DV58,$O$5,DV74,$O$6,$R$2)</f>
        <v>N/A</v>
      </c>
      <c r="FF91" s="1" t="str" cm="1">
        <f t="array" ref="FF91:FK91">DetermineKill(ConvertToRoundTime(secandmin(CB10),secandmin(CJ28),CC10),CA10,CE10,CF10,CD10,CH10,CG10,$O$7)</f>
        <v>NOLOC</v>
      </c>
      <c r="FG91" s="1" t="b">
        <v>0</v>
      </c>
      <c r="FH91" s="1" t="b">
        <v>0</v>
      </c>
      <c r="FI91" s="1" t="b">
        <v>0</v>
      </c>
      <c r="FJ91" s="1" t="b">
        <v>0</v>
      </c>
      <c r="FK91" s="1" t="b">
        <v>0</v>
      </c>
      <c r="FL91" s="1" t="str" cm="1">
        <f t="array" ref="FL91">DeathTraded(FI91,$O$7,DV10,$O$2,DV26,$O$3,DV42,$O$4,DV58,$O$5,DV74,$O$6,$R$2)</f>
        <v>N/A</v>
      </c>
      <c r="FM91" s="1" t="str" cm="1">
        <f t="array" ref="FM91:FR91">DetermineKill(ConvertToRoundTime(secandmin(CK10),secandmin(CJ28),CL10),CJ10,CN10,CO10,CM10,CQ10,CP10,$O$7)</f>
        <v>NOLOC</v>
      </c>
      <c r="FN91" s="1" t="b">
        <v>0</v>
      </c>
      <c r="FO91" s="1" t="b">
        <v>0</v>
      </c>
      <c r="FP91" s="1" t="b">
        <v>0</v>
      </c>
      <c r="FQ91" s="1" t="b">
        <v>0</v>
      </c>
      <c r="FR91" s="1" t="b">
        <v>0</v>
      </c>
      <c r="FS91" s="1" t="str" cm="1">
        <f t="array" ref="FS91">DeathTraded(FP91,$O$7,DV10,$O$2,DV26,$O$3,DV42,$O$4,DV58,$O$5,DV74,$O$6,$R$2)</f>
        <v>N/A</v>
      </c>
      <c r="FT91" s="1" t="str" cm="1">
        <f t="array" ref="FT91:FY91">DetermineKill(ConvertToRoundTime(secandmin(CT10),secandmin(CJ28),CU10),CS10,CW10,CX10,CV10,CZ10,CY10,$O$7)</f>
        <v>NOLOC</v>
      </c>
      <c r="FU91" s="1" t="b">
        <v>0</v>
      </c>
      <c r="FV91" s="1" t="b">
        <v>0</v>
      </c>
      <c r="FW91" s="1" t="b">
        <v>0</v>
      </c>
      <c r="FX91" s="1" t="b">
        <v>0</v>
      </c>
      <c r="FY91" s="1" t="b">
        <v>0</v>
      </c>
      <c r="FZ91" s="1" t="str" cm="1">
        <f t="array" ref="FZ91">DeathTraded(FW91,$O$7,DV10,$O$2,DV26,$O$3,DV42,$O$4,DV58,$O$5,DV74,$O$6,$R$2)</f>
        <v>N/A</v>
      </c>
      <c r="GA91" s="1" t="str" cm="1">
        <f t="array" ref="GA91:GF91">DetermineKill(ConvertToRoundTime(secandmin(DC10),secandmin(CJ28),DD10),DB10,DF10,DG10,DE10,DI10,DH10,$O$7)</f>
        <v>NOLOC</v>
      </c>
      <c r="GB91" s="1" t="b">
        <v>0</v>
      </c>
      <c r="GC91" s="1" t="b">
        <v>0</v>
      </c>
      <c r="GD91" s="1" t="b">
        <v>0</v>
      </c>
      <c r="GE91" s="1" t="b">
        <v>0</v>
      </c>
      <c r="GF91" s="1" t="b">
        <v>0</v>
      </c>
      <c r="GG91" s="1" t="str" cm="1">
        <f t="array" ref="GG91">DeathTraded(GD91,$O$7,DV10,$O$2,DV26,$O$3,DV42,$O$4,DV58,$O$5,DV74,$O$6,$R$2)</f>
        <v>N/A</v>
      </c>
    </row>
    <row r="92" spans="1:189" x14ac:dyDescent="0.25">
      <c r="DP92" s="23"/>
      <c r="DQ92" s="21" t="str">
        <f ca="1">A2</f>
        <v>8_22 Skyscraper_1</v>
      </c>
      <c r="DR92" s="5">
        <v>5</v>
      </c>
      <c r="DS92" s="21">
        <v>0</v>
      </c>
      <c r="DT92" s="21" t="str">
        <v/>
      </c>
      <c r="DU92" s="21" t="str">
        <v/>
      </c>
      <c r="DV92" s="1" t="b" cm="1">
        <f t="array" ref="DV92">OpeningPick(MIN(IF(ES11=FALSE,300,ES11),IF(ES27=FALSE,300,ES27),IF(ES43=FALSE,300,ES43),IF(ES59=FALSE,300,ES59),IF(ES75=FALSE,300,ES75),IF(FB92=FALSE,300,FB92)),DV11,DV27,DV43,DV59,DV75)</f>
        <v>0</v>
      </c>
      <c r="DW92" s="21" t="b">
        <f t="shared" si="60"/>
        <v>0</v>
      </c>
      <c r="DX92" s="21" cm="1">
        <f t="array" ref="DX92">ConvertToRoundTime(secandmin(CK29),secandmin(CJ29),NOT(ISBLANK(CJ29)))</f>
        <v>153</v>
      </c>
      <c r="DY92" s="13" t="b" cm="1">
        <f t="array" ref="DY92">FiveVThreeThrown(MAX(ES11,ES27,ES43,ES59,ES75,FA92),MAX(EZ11,EZ27,EZ43,EZ59,EZ75,FI92),DV11,DV27,DV43,DV59,DV75,EF92)</f>
        <v>0</v>
      </c>
      <c r="DZ92" s="1" t="b">
        <f t="shared" si="61"/>
        <v>0</v>
      </c>
      <c r="EA92" s="21" t="str">
        <v>Attack</v>
      </c>
      <c r="EB92" s="21" cm="1">
        <f t="array" ref="EB92">ConvertToRoundTime(secandmin(CK29),secandmin(CJ29),NOT(ISBLANK(CJ29)))</f>
        <v>153</v>
      </c>
      <c r="EC92" s="21" t="b" cm="1">
        <f t="array" ref="EC92">IF(ISERROR(180-secandmin(CJ29)),FALSE,180-secandmin(CJ29))</f>
        <v>0</v>
      </c>
      <c r="ED92" s="21" t="str">
        <v>Unspecified</v>
      </c>
      <c r="EE92" s="21" t="str">
        <v>WorkExibition</v>
      </c>
      <c r="EF92" s="21" t="str">
        <v>Lost</v>
      </c>
      <c r="EG92" s="1"/>
      <c r="EH92" s="23"/>
      <c r="EV92" s="1" t="b">
        <f t="shared" si="62"/>
        <v>1</v>
      </c>
      <c r="EW92" s="1" t="str">
        <f t="shared" ca="1" si="63"/>
        <v>8_22 Skyscraper_1</v>
      </c>
      <c r="EX92" s="1" t="b" cm="1">
        <f t="array" ref="EX92">OpeningKill(FB92,ES75,ES59,ES43,ES27,ES11,DV11,DV27,DV43,DV59,DV75)</f>
        <v>0</v>
      </c>
      <c r="EY92" s="1" t="str" cm="1">
        <f t="array" ref="EY92:FD92">DetermineKill(ConvertToRoundTime(secandmin(BS11),secandmin(CJ29),BT11),BR11,BV11,BW11,BU11,BY11,BX11,$O$7)</f>
        <v>NOLOC</v>
      </c>
      <c r="EZ92" s="1" t="b">
        <v>0</v>
      </c>
      <c r="FA92" s="1" t="b">
        <v>0</v>
      </c>
      <c r="FB92" s="1" t="b">
        <v>0</v>
      </c>
      <c r="FC92" s="1" t="b">
        <v>0</v>
      </c>
      <c r="FD92" s="1" t="b">
        <v>0</v>
      </c>
      <c r="FE92" s="1" t="str" cm="1">
        <f t="array" ref="FE92">DeathTraded(FB92,$O$7,DV11,$O$2,DV27,$O$3,DV43,$O$4,DV59,$O$5,DV75,$O$6,$R$2)</f>
        <v>N/A</v>
      </c>
      <c r="FF92" s="1" t="str" cm="1">
        <f t="array" ref="FF92:FK92">DetermineKill(ConvertToRoundTime(secandmin(CB11),secandmin(CJ29),CC11),CA11,CE11,CF11,CD11,CH11,CG11,$O$7)</f>
        <v>NOLOC</v>
      </c>
      <c r="FG92" s="1" t="b">
        <v>0</v>
      </c>
      <c r="FH92" s="1" t="b">
        <v>0</v>
      </c>
      <c r="FI92" s="1" t="b">
        <v>0</v>
      </c>
      <c r="FJ92" s="1" t="b">
        <v>0</v>
      </c>
      <c r="FK92" s="1" t="b">
        <v>0</v>
      </c>
      <c r="FL92" s="1" t="str" cm="1">
        <f t="array" ref="FL92">DeathTraded(FI92,$O$7,DV11,$O$2,DV27,$O$3,DV43,$O$4,DV59,$O$5,DV75,$O$6,$R$2)</f>
        <v>N/A</v>
      </c>
      <c r="FM92" s="1" t="str" cm="1">
        <f t="array" ref="FM92:FR92">DetermineKill(ConvertToRoundTime(secandmin(CK11),secandmin(CJ29),CL11),CJ11,CN11,CO11,CM11,CQ11,CP11,$O$7)</f>
        <v>NOLOC</v>
      </c>
      <c r="FN92" s="1" t="b">
        <v>0</v>
      </c>
      <c r="FO92" s="1" t="b">
        <v>0</v>
      </c>
      <c r="FP92" s="1" t="b">
        <v>0</v>
      </c>
      <c r="FQ92" s="1" t="b">
        <v>0</v>
      </c>
      <c r="FR92" s="1" t="b">
        <v>0</v>
      </c>
      <c r="FS92" s="1" t="str" cm="1">
        <f t="array" ref="FS92">DeathTraded(FP92,$O$7,DV11,$O$2,DV27,$O$3,DV43,$O$4,DV59,$O$5,DV75,$O$6,$R$2)</f>
        <v>N/A</v>
      </c>
      <c r="FT92" s="1" t="str" cm="1">
        <f t="array" ref="FT92:FY92">DetermineKill(ConvertToRoundTime(secandmin(CT11),secandmin(CJ29),CU11),CS11,CW11,CX11,CV11,CZ11,CY11,$O$7)</f>
        <v>NOLOC</v>
      </c>
      <c r="FU92" s="1" t="b">
        <v>0</v>
      </c>
      <c r="FV92" s="1" t="b">
        <v>0</v>
      </c>
      <c r="FW92" s="1" t="b">
        <v>0</v>
      </c>
      <c r="FX92" s="1" t="b">
        <v>0</v>
      </c>
      <c r="FY92" s="1" t="b">
        <v>0</v>
      </c>
      <c r="FZ92" s="1" t="str" cm="1">
        <f t="array" ref="FZ92">DeathTraded(FW92,$O$7,DV11,$O$2,DV27,$O$3,DV43,$O$4,DV59,$O$5,DV75,$O$6,$R$2)</f>
        <v>N/A</v>
      </c>
      <c r="GA92" s="1" t="str" cm="1">
        <f t="array" ref="GA92:GF92">DetermineKill(ConvertToRoundTime(secandmin(DC11),secandmin(CJ29),DD11),DB11,DF11,DG11,DE11,DI11,DH11,$O$7)</f>
        <v>NOLOC</v>
      </c>
      <c r="GB92" s="1" t="b">
        <v>0</v>
      </c>
      <c r="GC92" s="1" t="b">
        <v>0</v>
      </c>
      <c r="GD92" s="1" t="b">
        <v>0</v>
      </c>
      <c r="GE92" s="1" t="b">
        <v>0</v>
      </c>
      <c r="GF92" s="1" t="b">
        <v>0</v>
      </c>
      <c r="GG92" s="1" t="str" cm="1">
        <f t="array" ref="GG92">DeathTraded(GD92,$O$7,DV11,$O$2,DV27,$O$3,DV43,$O$4,DV59,$O$5,DV75,$O$6,$R$2)</f>
        <v>N/A</v>
      </c>
    </row>
    <row r="93" spans="1:189" x14ac:dyDescent="0.25">
      <c r="DP93" s="23"/>
      <c r="DQ93" s="21" t="str">
        <f ca="1">A2</f>
        <v>8_22 Skyscraper_1</v>
      </c>
      <c r="DR93" s="4">
        <v>6</v>
      </c>
      <c r="DS93" s="21">
        <v>0</v>
      </c>
      <c r="DT93" s="21" t="str">
        <v/>
      </c>
      <c r="DU93" s="21" t="str">
        <v/>
      </c>
      <c r="DV93" s="1" t="b" cm="1">
        <f t="array" ref="DV93">OpeningPick(MIN(IF(ES12=FALSE,300,ES12),IF(ES28=FALSE,300,ES28),IF(ES44=FALSE,300,ES44),IF(ES60=FALSE,300,ES60),IF(ES76=FALSE,300,ES76),IF(FB93=FALSE,300,FB93)),DV12,DV28,DV44,DV60,DV76)</f>
        <v>1</v>
      </c>
      <c r="DW93" s="21" t="b">
        <f t="shared" si="60"/>
        <v>0</v>
      </c>
      <c r="DX93" s="21" cm="1">
        <f t="array" ref="DX93">ConvertToRoundTime(secandmin(CK30),secandmin(CJ30),NOT(ISBLANK(CJ30)))</f>
        <v>180</v>
      </c>
      <c r="DY93" s="13" t="b" cm="1">
        <f t="array" ref="DY93">FiveVThreeThrown(MAX(ES12,ES28,ES44,ES60,ES76,FA93),MAX(EZ12,EZ28,EZ44,EZ60,EZ76,FI93),DV12,DV28,DV44,DV60,DV76,EF93)</f>
        <v>0</v>
      </c>
      <c r="DZ93" s="1" t="b">
        <f t="shared" si="61"/>
        <v>0</v>
      </c>
      <c r="EA93" s="21" t="str">
        <v>Attack</v>
      </c>
      <c r="EB93" s="21" cm="1">
        <f t="array" ref="EB93">ConvertToRoundTime(secandmin(CK30),secandmin(CJ30),NOT(ISBLANK(CJ30)))</f>
        <v>180</v>
      </c>
      <c r="EC93" s="21" t="b" cm="1">
        <f t="array" ref="EC93">IF(ISERROR(180-secandmin(CJ30)),FALSE,180-secandmin(CJ30))</f>
        <v>0</v>
      </c>
      <c r="ED93" s="21" t="str">
        <v>Unspecified</v>
      </c>
      <c r="EE93" s="21" t="str">
        <v>BBQKitchen</v>
      </c>
      <c r="EF93" s="21" t="str">
        <v>Lost</v>
      </c>
      <c r="EG93" s="1"/>
      <c r="EH93" s="23"/>
      <c r="EV93" s="1" t="b">
        <f t="shared" si="62"/>
        <v>1</v>
      </c>
      <c r="EW93" s="1" t="str">
        <f t="shared" ca="1" si="63"/>
        <v>8_22 Skyscraper_1</v>
      </c>
      <c r="EX93" s="1" t="b" cm="1">
        <f t="array" ref="EX93">OpeningKill(FB93,ES76,ES60,ES44,ES28,ES12,DV12,DV28,DV44,DV60,DV76)</f>
        <v>0</v>
      </c>
      <c r="EY93" s="1" t="str" cm="1">
        <f t="array" ref="EY93:FD93">DetermineKill(ConvertToRoundTime(secandmin(BS12),secandmin(CJ30),BT12),BR12,BV12,BW12,BU12,BY12,BX12,$O$7)</f>
        <v>NOLOC</v>
      </c>
      <c r="EZ93" s="1" t="b">
        <v>0</v>
      </c>
      <c r="FA93" s="1" t="b">
        <v>0</v>
      </c>
      <c r="FB93" s="1" t="b">
        <v>0</v>
      </c>
      <c r="FC93" s="1" t="b">
        <v>0</v>
      </c>
      <c r="FD93" s="1" t="b">
        <v>0</v>
      </c>
      <c r="FE93" s="1" t="str" cm="1">
        <f t="array" ref="FE93">DeathTraded(FB93,$O$7,DV12,$O$2,DV28,$O$3,DV44,$O$4,DV60,$O$5,DV76,$O$6,$R$2)</f>
        <v>N/A</v>
      </c>
      <c r="FF93" s="1" t="str" cm="1">
        <f t="array" ref="FF93:FK93">DetermineKill(ConvertToRoundTime(secandmin(CB12),secandmin(CJ30),CC12),CA12,CE12,CF12,CD12,CH12,CG12,$O$7)</f>
        <v>NOLOC</v>
      </c>
      <c r="FG93" s="1" t="b">
        <v>0</v>
      </c>
      <c r="FH93" s="1" t="b">
        <v>0</v>
      </c>
      <c r="FI93" s="1" t="b">
        <v>0</v>
      </c>
      <c r="FJ93" s="1" t="b">
        <v>0</v>
      </c>
      <c r="FK93" s="1" t="b">
        <v>0</v>
      </c>
      <c r="FL93" s="1" t="str" cm="1">
        <f t="array" ref="FL93">DeathTraded(FI93,$O$7,DV12,$O$2,DV28,$O$3,DV44,$O$4,DV60,$O$5,DV76,$O$6,$R$2)</f>
        <v>N/A</v>
      </c>
      <c r="FM93" s="1" t="str" cm="1">
        <f t="array" ref="FM93:FR93">DetermineKill(ConvertToRoundTime(secandmin(CK12),secandmin(CJ30),CL12),CJ12,CN12,CO12,CM12,CQ12,CP12,$O$7)</f>
        <v>NOLOC</v>
      </c>
      <c r="FN93" s="1" t="b">
        <v>0</v>
      </c>
      <c r="FO93" s="1" t="b">
        <v>0</v>
      </c>
      <c r="FP93" s="1" t="b">
        <v>0</v>
      </c>
      <c r="FQ93" s="1" t="b">
        <v>0</v>
      </c>
      <c r="FR93" s="1" t="b">
        <v>0</v>
      </c>
      <c r="FS93" s="1" t="str" cm="1">
        <f t="array" ref="FS93">DeathTraded(FP93,$O$7,DV12,$O$2,DV28,$O$3,DV44,$O$4,DV60,$O$5,DV76,$O$6,$R$2)</f>
        <v>N/A</v>
      </c>
      <c r="FT93" s="1" t="str" cm="1">
        <f t="array" ref="FT93:FY93">DetermineKill(ConvertToRoundTime(secandmin(CT12),secandmin(CJ30),CU12),CS12,CW12,CX12,CV12,CZ12,CY12,$O$7)</f>
        <v>NOLOC</v>
      </c>
      <c r="FU93" s="1" t="b">
        <v>0</v>
      </c>
      <c r="FV93" s="1" t="b">
        <v>0</v>
      </c>
      <c r="FW93" s="1" t="b">
        <v>0</v>
      </c>
      <c r="FX93" s="1" t="b">
        <v>0</v>
      </c>
      <c r="FY93" s="1" t="b">
        <v>0</v>
      </c>
      <c r="FZ93" s="1" t="str" cm="1">
        <f t="array" ref="FZ93">DeathTraded(FW93,$O$7,DV12,$O$2,DV28,$O$3,DV44,$O$4,DV60,$O$5,DV76,$O$6,$R$2)</f>
        <v>N/A</v>
      </c>
      <c r="GA93" s="1" t="str" cm="1">
        <f t="array" ref="GA93:GF93">DetermineKill(ConvertToRoundTime(secandmin(DC12),secandmin(CJ30),DD12),DB12,DF12,DG12,DE12,DI12,DH12,$O$7)</f>
        <v>NOLOC</v>
      </c>
      <c r="GB93" s="1" t="b">
        <v>0</v>
      </c>
      <c r="GC93" s="1" t="b">
        <v>0</v>
      </c>
      <c r="GD93" s="1" t="b">
        <v>0</v>
      </c>
      <c r="GE93" s="1" t="b">
        <v>0</v>
      </c>
      <c r="GF93" s="1" t="b">
        <v>0</v>
      </c>
      <c r="GG93" s="1" t="str" cm="1">
        <f t="array" ref="GG93">DeathTraded(GD93,$O$7,DV12,$O$2,DV28,$O$3,DV44,$O$4,DV60,$O$5,DV76,$O$6,$R$2)</f>
        <v>N/A</v>
      </c>
    </row>
    <row r="94" spans="1:189" x14ac:dyDescent="0.25">
      <c r="DP94" s="23"/>
      <c r="DQ94" s="21" t="str">
        <f ca="1">A2</f>
        <v>8_22 Skyscraper_1</v>
      </c>
      <c r="DR94" s="5">
        <v>7</v>
      </c>
      <c r="DS94" s="21" t="str">
        <v/>
      </c>
      <c r="DT94" s="21">
        <v>4</v>
      </c>
      <c r="DU94" s="21">
        <v>5</v>
      </c>
      <c r="DV94" s="1" t="b" cm="1">
        <f t="array" ref="DV94">OpeningPick(MIN(IF(ES13=FALSE,300,ES13),IF(ES29=FALSE,300,ES29),IF(ES45=FALSE,300,ES45),IF(ES61=FALSE,300,ES61),IF(ES77=FALSE,300,ES77),IF(FB94=FALSE,300,FB94)),DV13,DV29,DV45,DV61,DV77)</f>
        <v>1</v>
      </c>
      <c r="DW94" s="21" t="b">
        <f t="shared" si="60"/>
        <v>0</v>
      </c>
      <c r="DX94" s="21" cm="1">
        <f t="array" ref="DX94">ConvertToRoundTime(secandmin(CK31),secandmin(CJ31),NOT(ISBLANK(CJ31)))</f>
        <v>168</v>
      </c>
      <c r="DY94" s="13" t="b" cm="1">
        <f t="array" ref="DY94">FiveVThreeThrown(MAX(ES13,ES29,ES45,ES61,ES77,FA94),MAX(EZ13,EZ29,EZ45,EZ61,EZ77,FI94),DV13,DV29,DV45,DV61,DV77,EF94)</f>
        <v>0</v>
      </c>
      <c r="DZ94" s="1" t="b">
        <f t="shared" si="61"/>
        <v>1</v>
      </c>
      <c r="EA94" s="21" t="str">
        <v>Defense</v>
      </c>
      <c r="EB94" s="21" cm="1">
        <f t="array" ref="EB94">ConvertToRoundTime(secandmin(CK31),secandmin(CJ31),NOT(ISBLANK(CJ31)))</f>
        <v>168</v>
      </c>
      <c r="EC94" s="21" t="b" cm="1">
        <f t="array" ref="EC94">IF(ISERROR(180-secandmin(CJ31)),FALSE,180-secandmin(CJ31))</f>
        <v>0</v>
      </c>
      <c r="ED94" s="21" t="str">
        <v>Unspecified</v>
      </c>
      <c r="EE94" s="21" t="str">
        <v>BBQKitchen</v>
      </c>
      <c r="EF94" s="21" t="str">
        <v>Won</v>
      </c>
      <c r="EG94" s="1"/>
      <c r="EH94" s="23"/>
      <c r="EV94" s="1" t="b">
        <f>IF(NOT(DY94="NP"),TRUE,FALSE)</f>
        <v>1</v>
      </c>
      <c r="EW94" s="1" t="str">
        <f t="shared" ca="1" si="63"/>
        <v>8_22 Skyscraper_1</v>
      </c>
      <c r="EX94" s="1" t="b" cm="1">
        <f t="array" ref="EX94">OpeningKill(FB94,ES77,ES61,ES45,ES29,ES13,DV13,DV29,DV45,DV61,DV77)</f>
        <v>0</v>
      </c>
      <c r="EY94" s="1" t="str" cm="1">
        <f t="array" ref="EY94:FD94">DetermineKill(ConvertToRoundTime(secandmin(BS13),secandmin(CJ31),BT13),BR13,BV13,BW13,BU13,BY13,BX13,$O$7)</f>
        <v>NOLOC</v>
      </c>
      <c r="EZ94" s="1" t="b">
        <v>0</v>
      </c>
      <c r="FA94" s="1" t="b">
        <v>0</v>
      </c>
      <c r="FB94" s="1" t="b">
        <v>0</v>
      </c>
      <c r="FC94" s="1" t="b">
        <v>0</v>
      </c>
      <c r="FD94" s="1" t="b">
        <v>0</v>
      </c>
      <c r="FE94" s="1" t="str" cm="1">
        <f t="array" ref="FE94">DeathTraded(FB94,$O$7,DV13,$O$2,DV29,$O$3,DV45,$O$4,DV61,$O$5,DV77,$O$6,$R$2)</f>
        <v>N/A</v>
      </c>
      <c r="FF94" s="1" t="str" cm="1">
        <f t="array" ref="FF94:FK94">DetermineKill(ConvertToRoundTime(secandmin(CB13),secandmin(CJ31),CC13),CA13,CE13,CF13,CD13,CH13,CG13,$O$7)</f>
        <v>NOLOC</v>
      </c>
      <c r="FG94" s="1" t="b">
        <v>0</v>
      </c>
      <c r="FH94" s="1" t="b">
        <v>0</v>
      </c>
      <c r="FI94" s="1" t="b">
        <v>0</v>
      </c>
      <c r="FJ94" s="1" t="b">
        <v>0</v>
      </c>
      <c r="FK94" s="1" t="b">
        <v>0</v>
      </c>
      <c r="FL94" s="1" t="str" cm="1">
        <f t="array" ref="FL94">DeathTraded(FI94,$O$7,DV13,$O$2,DV29,$O$3,DV45,$O$4,DV61,$O$5,DV77,$O$6,$R$2)</f>
        <v>N/A</v>
      </c>
      <c r="FM94" s="1" t="str" cm="1">
        <f t="array" ref="FM94:FR94">DetermineKill(ConvertToRoundTime(secandmin(CK13),secandmin(CJ31),CL13),CJ13,CN13,CO13,CM13,CQ13,CP13,$O$7)</f>
        <v>NOLOC</v>
      </c>
      <c r="FN94" s="1" t="b">
        <v>0</v>
      </c>
      <c r="FO94" s="1" t="b">
        <v>0</v>
      </c>
      <c r="FP94" s="1" t="b">
        <v>0</v>
      </c>
      <c r="FQ94" s="1" t="b">
        <v>0</v>
      </c>
      <c r="FR94" s="1" t="b">
        <v>0</v>
      </c>
      <c r="FS94" s="1" t="str" cm="1">
        <f t="array" ref="FS94">DeathTraded(FP94,$O$7,DV13,$O$2,DV29,$O$3,DV45,$O$4,DV61,$O$5,DV77,$O$6,$R$2)</f>
        <v>N/A</v>
      </c>
      <c r="FT94" s="1" t="str" cm="1">
        <f t="array" ref="FT94:FY94">DetermineKill(ConvertToRoundTime(secandmin(CT13),secandmin(CJ31),CU13),CS13,CW13,CX13,CV13,CZ13,CY13,$O$7)</f>
        <v>NOLOC</v>
      </c>
      <c r="FU94" s="1" t="b">
        <v>0</v>
      </c>
      <c r="FV94" s="1" t="b">
        <v>0</v>
      </c>
      <c r="FW94" s="1" t="b">
        <v>0</v>
      </c>
      <c r="FX94" s="1" t="b">
        <v>0</v>
      </c>
      <c r="FY94" s="1" t="b">
        <v>0</v>
      </c>
      <c r="FZ94" s="1" t="str" cm="1">
        <f t="array" ref="FZ94">DeathTraded(FW94,$O$7,DV13,$O$2,DV29,$O$3,DV45,$O$4,DV61,$O$5,DV77,$O$6,$R$2)</f>
        <v>N/A</v>
      </c>
      <c r="GA94" s="1" t="str" cm="1">
        <f t="array" ref="GA94:GF94">DetermineKill(ConvertToRoundTime(secandmin(DC13),secandmin(CJ31),DD13),DB13,DF13,DG13,DE13,DI13,DH13,$O$7)</f>
        <v>NOLOC</v>
      </c>
      <c r="GB94" s="1" t="b">
        <v>0</v>
      </c>
      <c r="GC94" s="1" t="b">
        <v>0</v>
      </c>
      <c r="GD94" s="1" t="b">
        <v>0</v>
      </c>
      <c r="GE94" s="1" t="b">
        <v>0</v>
      </c>
      <c r="GF94" s="1" t="b">
        <v>0</v>
      </c>
      <c r="GG94" s="1" t="str" cm="1">
        <f t="array" ref="GG94">DeathTraded(GD94,$O$7,DV13,$O$2,DV29,$O$3,DV45,$O$4,DV61,$O$5,DV77,$O$6,$R$2)</f>
        <v>N/A</v>
      </c>
    </row>
    <row r="95" spans="1:189" x14ac:dyDescent="0.25">
      <c r="A95" s="57" t="s">
        <v>210</v>
      </c>
      <c r="B95" s="57"/>
      <c r="C95" s="57"/>
      <c r="D95" s="57"/>
      <c r="DP95" s="23"/>
      <c r="DQ95" s="21" t="str">
        <f ca="1">A2</f>
        <v>8_22 Skyscraper_1</v>
      </c>
      <c r="DR95" s="4">
        <v>8</v>
      </c>
      <c r="DS95" s="21" t="str">
        <v/>
      </c>
      <c r="DT95" s="21">
        <v>1</v>
      </c>
      <c r="DU95" s="21">
        <v>1</v>
      </c>
      <c r="DV95" s="1" t="b" cm="1">
        <f t="array" ref="DV95">OpeningPick(MIN(IF(ES14=FALSE,300,ES14),IF(ES30=FALSE,300,ES30),IF(ES46=FALSE,300,ES46),IF(ES62=FALSE,300,ES62),IF(ES78=FALSE,300,ES78),IF(FB95=FALSE,300,FB95)),DV14,DV30,DV46,DV62,DV78)</f>
        <v>1</v>
      </c>
      <c r="DW95" s="21" t="b">
        <f t="shared" si="60"/>
        <v>0</v>
      </c>
      <c r="DX95" s="21" cm="1">
        <f t="array" ref="DX95">ConvertToRoundTime(secandmin(CK32),secandmin(CJ32),NOT(ISBLANK(CJ32)))</f>
        <v>93</v>
      </c>
      <c r="DY95" s="13" t="b" cm="1">
        <f t="array" ref="DY95">FiveVThreeThrown(MAX(ES14,ES30,ES46,ES62,ES78,FA95),MAX(EZ14,EZ30,EZ46,EZ62,EZ78,FI95),DV14,DV30,DV46,DV62,DV78,EF95)</f>
        <v>0</v>
      </c>
      <c r="DZ95" s="1" t="b">
        <f t="shared" si="61"/>
        <v>0</v>
      </c>
      <c r="EA95" s="21" t="str">
        <v>Defense</v>
      </c>
      <c r="EB95" s="21" cm="1">
        <f t="array" ref="EB95">ConvertToRoundTime(secandmin(CK32),secandmin(CJ32),NOT(ISBLANK(CJ32)))</f>
        <v>93</v>
      </c>
      <c r="EC95" s="21" t="b" cm="1">
        <f t="array" ref="EC95">IF(ISERROR(180-secandmin(CJ32)),FALSE,180-secandmin(CJ32))</f>
        <v>0</v>
      </c>
      <c r="ED95" s="21" t="str">
        <v>Unspecified</v>
      </c>
      <c r="EE95" s="21" t="str">
        <v>WorkExibition</v>
      </c>
      <c r="EF95" s="21" t="str">
        <v>Won</v>
      </c>
      <c r="EG95" s="1"/>
      <c r="EH95" s="23"/>
      <c r="EV95" s="1" t="b">
        <f t="shared" si="62"/>
        <v>1</v>
      </c>
      <c r="EW95" s="1" t="str">
        <f t="shared" ca="1" si="63"/>
        <v>8_22 Skyscraper_1</v>
      </c>
      <c r="EX95" s="1" t="b" cm="1">
        <f t="array" ref="EX95">OpeningKill(FB95,ES78,ES62,ES46,ES30,ES14,DV14,DV30,DV46,DV62,DV78)</f>
        <v>0</v>
      </c>
      <c r="EY95" s="1" t="str" cm="1">
        <f t="array" ref="EY95:FD95">DetermineKill(ConvertToRoundTime(secandmin(BS14),secandmin(CJ32),BT14),BR14,BV14,BW14,BU14,BY14,BX14,$O$7)</f>
        <v>NOLOC</v>
      </c>
      <c r="EZ95" s="1" t="b">
        <v>0</v>
      </c>
      <c r="FA95" s="1" t="b">
        <v>0</v>
      </c>
      <c r="FB95" s="1" t="b">
        <v>0</v>
      </c>
      <c r="FC95" s="1" t="b">
        <v>0</v>
      </c>
      <c r="FD95" s="1" t="b">
        <v>0</v>
      </c>
      <c r="FE95" s="1" t="str" cm="1">
        <f t="array" ref="FE95">DeathTraded(FB95,$O$7,DV14,$O$2,DV30,$O$3,DV46,$O$4,DV62,$O$5,DV78,$O$6,$R$2)</f>
        <v>N/A</v>
      </c>
      <c r="FF95" s="1" t="str" cm="1">
        <f t="array" ref="FF95:FK95">DetermineKill(ConvertToRoundTime(secandmin(CB14),secandmin(CJ32),CC14),CA14,CE14,CF14,CD14,CH14,CG14,$O$7)</f>
        <v>NOLOC</v>
      </c>
      <c r="FG95" s="1" t="b">
        <v>0</v>
      </c>
      <c r="FH95" s="1" t="b">
        <v>0</v>
      </c>
      <c r="FI95" s="1" t="b">
        <v>0</v>
      </c>
      <c r="FJ95" s="1" t="b">
        <v>0</v>
      </c>
      <c r="FK95" s="1" t="b">
        <v>0</v>
      </c>
      <c r="FL95" s="1" t="str" cm="1">
        <f t="array" ref="FL95">DeathTraded(FI95,$O$7,DV14,$O$2,DV30,$O$3,DV46,$O$4,DV62,$O$5,DV78,$O$6,$R$2)</f>
        <v>N/A</v>
      </c>
      <c r="FM95" s="1" t="str" cm="1">
        <f t="array" ref="FM95:FR95">DetermineKill(ConvertToRoundTime(secandmin(CK14),secandmin(CJ32),CL14),CJ14,CN14,CO14,CM14,CQ14,CP14,$O$7)</f>
        <v>NOLOC</v>
      </c>
      <c r="FN95" s="1" t="b">
        <v>0</v>
      </c>
      <c r="FO95" s="1" t="b">
        <v>0</v>
      </c>
      <c r="FP95" s="1" t="b">
        <v>0</v>
      </c>
      <c r="FQ95" s="1" t="b">
        <v>0</v>
      </c>
      <c r="FR95" s="1" t="b">
        <v>0</v>
      </c>
      <c r="FS95" s="1" t="str" cm="1">
        <f t="array" ref="FS95">DeathTraded(FP95,$O$7,DV14,$O$2,DV30,$O$3,DV46,$O$4,DV62,$O$5,DV78,$O$6,$R$2)</f>
        <v>N/A</v>
      </c>
      <c r="FT95" s="1" t="str" cm="1">
        <f t="array" ref="FT95:FY95">DetermineKill(ConvertToRoundTime(secandmin(CT14),secandmin(CJ32),CU14),CS14,CW14,CX14,CV14,CZ14,CY14,$O$7)</f>
        <v>NOLOC</v>
      </c>
      <c r="FU95" s="1" t="b">
        <v>0</v>
      </c>
      <c r="FV95" s="1" t="b">
        <v>0</v>
      </c>
      <c r="FW95" s="1" t="b">
        <v>0</v>
      </c>
      <c r="FX95" s="1" t="b">
        <v>0</v>
      </c>
      <c r="FY95" s="1" t="b">
        <v>0</v>
      </c>
      <c r="FZ95" s="1" t="str" cm="1">
        <f t="array" ref="FZ95">DeathTraded(FW95,$O$7,DV14,$O$2,DV30,$O$3,DV46,$O$4,DV62,$O$5,DV78,$O$6,$R$2)</f>
        <v>N/A</v>
      </c>
      <c r="GA95" s="1" t="str" cm="1">
        <f t="array" ref="GA95:GF95">DetermineKill(ConvertToRoundTime(secandmin(DC14),secandmin(CJ32),DD14),DB14,DF14,DG14,DE14,DI14,DH14,$O$7)</f>
        <v>NOLOC</v>
      </c>
      <c r="GB95" s="1" t="b">
        <v>0</v>
      </c>
      <c r="GC95" s="1" t="b">
        <v>0</v>
      </c>
      <c r="GD95" s="1" t="b">
        <v>0</v>
      </c>
      <c r="GE95" s="1" t="b">
        <v>0</v>
      </c>
      <c r="GF95" s="1" t="b">
        <v>0</v>
      </c>
      <c r="GG95" s="1" t="str" cm="1">
        <f t="array" ref="GG95">DeathTraded(GD95,$O$7,DV14,$O$2,DV30,$O$3,DV46,$O$4,DV62,$O$5,DV78,$O$6,$R$2)</f>
        <v>N/A</v>
      </c>
    </row>
    <row r="96" spans="1:189" x14ac:dyDescent="0.25">
      <c r="A96" s="57"/>
      <c r="B96" s="57"/>
      <c r="C96" s="57"/>
      <c r="D96" s="57"/>
      <c r="DP96" s="23"/>
      <c r="DQ96" s="21" t="str">
        <f ca="1">A2</f>
        <v>8_22 Skyscraper_1</v>
      </c>
      <c r="DR96" s="5">
        <v>9</v>
      </c>
      <c r="DS96" s="21" t="str">
        <v/>
      </c>
      <c r="DT96" s="21">
        <v>3</v>
      </c>
      <c r="DU96" s="21">
        <v>6</v>
      </c>
      <c r="DV96" s="1" t="b" cm="1">
        <f t="array" ref="DV96">OpeningPick(MIN(IF(ES15=FALSE,300,ES15),IF(ES31=FALSE,300,ES31),IF(ES47=FALSE,300,ES47),IF(ES63=FALSE,300,ES63),IF(ES79=FALSE,300,ES79),IF(FB96=FALSE,300,FB96)),DV15,DV31,DV47,DV63,DV79)</f>
        <v>0</v>
      </c>
      <c r="DW96" s="21" t="b">
        <f t="shared" si="60"/>
        <v>0</v>
      </c>
      <c r="DX96" s="21" cm="1">
        <f t="array" ref="DX96">ConvertToRoundTime(secandmin(CK33),secandmin(CJ33),NOT(ISBLANK(CJ33)))</f>
        <v>169</v>
      </c>
      <c r="DY96" s="13" t="b" cm="1">
        <f t="array" ref="DY96">FiveVThreeThrown(MAX(ES15,ES31,ES47,ES63,ES79,FA96),MAX(EZ15,EZ31,EZ47,EZ63,EZ79,FI96),DV15,DV31,DV47,DV63,DV79,EF96)</f>
        <v>0</v>
      </c>
      <c r="DZ96" s="1" t="b">
        <f t="shared" si="61"/>
        <v>0</v>
      </c>
      <c r="EA96" s="21" t="str">
        <v>Defense</v>
      </c>
      <c r="EB96" s="21" cm="1">
        <f t="array" ref="EB96">ConvertToRoundTime(secandmin(CK33),secandmin(CJ33),NOT(ISBLANK(CJ33)))</f>
        <v>169</v>
      </c>
      <c r="EC96" s="21" cm="1">
        <f t="array" ref="EC96">IF(ISERROR(180-secandmin(CJ33)),FALSE,180-secandmin(CJ33))</f>
        <v>158</v>
      </c>
      <c r="ED96" s="21" t="str">
        <v>Unspecified</v>
      </c>
      <c r="EE96" s="21" t="str">
        <v>TeaKaraoke</v>
      </c>
      <c r="EF96" s="21" t="str">
        <v>Lost</v>
      </c>
      <c r="EG96" s="1"/>
      <c r="EH96" s="23"/>
      <c r="EV96" s="1" t="b">
        <f t="shared" si="62"/>
        <v>1</v>
      </c>
      <c r="EW96" s="1" t="str">
        <f t="shared" ca="1" si="63"/>
        <v>8_22 Skyscraper_1</v>
      </c>
      <c r="EX96" s="1" t="b" cm="1">
        <f t="array" ref="EX96">OpeningKill(FB96,ES79,ES63,ES47,ES31,ES15,DV15,DV31,DV47,DV63,DV79)</f>
        <v>0</v>
      </c>
      <c r="EY96" s="1" t="str" cm="1">
        <f t="array" ref="EY96:FD96">DetermineKill(ConvertToRoundTime(secandmin(BS15),secandmin(CJ33),BT15),BR15,BV15,BW15,BU15,BY15,BX15,$O$7)</f>
        <v>NOLOC</v>
      </c>
      <c r="EZ96" s="1" t="b">
        <v>0</v>
      </c>
      <c r="FA96" s="1" t="b">
        <v>0</v>
      </c>
      <c r="FB96" s="1" t="b">
        <v>0</v>
      </c>
      <c r="FC96" s="1" t="b">
        <v>0</v>
      </c>
      <c r="FD96" s="1" t="b">
        <v>0</v>
      </c>
      <c r="FE96" s="1" t="str" cm="1">
        <f t="array" ref="FE96">DeathTraded(FB96,$O$7,DV15,$O$2,DV31,$O$3,DV47,$O$4,DV63,$O$5,DV79,$O$6,$R$2)</f>
        <v>N/A</v>
      </c>
      <c r="FF96" s="1" t="str" cm="1">
        <f t="array" ref="FF96:FK96">DetermineKill(ConvertToRoundTime(secandmin(CB15),secandmin(CJ33),CC15),CA15,CE15,CF15,CD15,CH15,CG15,$O$7)</f>
        <v>NOLOC</v>
      </c>
      <c r="FG96" s="1" t="b">
        <v>0</v>
      </c>
      <c r="FH96" s="1" t="b">
        <v>0</v>
      </c>
      <c r="FI96" s="1" t="b">
        <v>0</v>
      </c>
      <c r="FJ96" s="1" t="b">
        <v>0</v>
      </c>
      <c r="FK96" s="1" t="b">
        <v>0</v>
      </c>
      <c r="FL96" s="1" t="str" cm="1">
        <f t="array" ref="FL96">DeathTraded(FI96,$O$7,DV15,$O$2,DV31,$O$3,DV47,$O$4,DV63,$O$5,DV79,$O$6,$R$2)</f>
        <v>N/A</v>
      </c>
      <c r="FM96" s="1" t="str" cm="1">
        <f t="array" ref="FM96:FR96">DetermineKill(ConvertToRoundTime(secandmin(CK15),secandmin(CJ33),CL15),CJ15,CN15,CO15,CM15,CQ15,CP15,$O$7)</f>
        <v>NOLOC</v>
      </c>
      <c r="FN96" s="1" t="b">
        <v>0</v>
      </c>
      <c r="FO96" s="1" t="b">
        <v>0</v>
      </c>
      <c r="FP96" s="1" t="b">
        <v>0</v>
      </c>
      <c r="FQ96" s="1" t="b">
        <v>0</v>
      </c>
      <c r="FR96" s="1" t="b">
        <v>0</v>
      </c>
      <c r="FS96" s="1" t="str" cm="1">
        <f t="array" ref="FS96">DeathTraded(FP96,$O$7,DV15,$O$2,DV31,$O$3,DV47,$O$4,DV63,$O$5,DV79,$O$6,$R$2)</f>
        <v>N/A</v>
      </c>
      <c r="FT96" s="1" t="str" cm="1">
        <f t="array" ref="FT96:FY96">DetermineKill(ConvertToRoundTime(secandmin(CT15),secandmin(CJ33),CU15),CS15,CW15,CX15,CV15,CZ15,CY15,$O$7)</f>
        <v>NOLOC</v>
      </c>
      <c r="FU96" s="1" t="b">
        <v>0</v>
      </c>
      <c r="FV96" s="1" t="b">
        <v>0</v>
      </c>
      <c r="FW96" s="1" t="b">
        <v>0</v>
      </c>
      <c r="FX96" s="1" t="b">
        <v>0</v>
      </c>
      <c r="FY96" s="1" t="b">
        <v>0</v>
      </c>
      <c r="FZ96" s="1" t="str" cm="1">
        <f t="array" ref="FZ96">DeathTraded(FW96,$O$7,DV15,$O$2,DV31,$O$3,DV47,$O$4,DV63,$O$5,DV79,$O$6,$R$2)</f>
        <v>N/A</v>
      </c>
      <c r="GA96" s="1" t="str" cm="1">
        <f t="array" ref="GA96:GF96">DetermineKill(ConvertToRoundTime(secandmin(DC15),secandmin(CJ33),DD15),DB15,DF15,DG15,DE15,DI15,DH15,$O$7)</f>
        <v>NOLOC</v>
      </c>
      <c r="GB96" s="1" t="b">
        <v>0</v>
      </c>
      <c r="GC96" s="1" t="b">
        <v>0</v>
      </c>
      <c r="GD96" s="1" t="b">
        <v>0</v>
      </c>
      <c r="GE96" s="1" t="b">
        <v>0</v>
      </c>
      <c r="GF96" s="1" t="b">
        <v>0</v>
      </c>
      <c r="GG96" s="1" t="str" cm="1">
        <f t="array" ref="GG96">DeathTraded(GD96,$O$7,DV15,$O$2,DV31,$O$3,DV47,$O$4,DV63,$O$5,DV79,$O$6,$R$2)</f>
        <v>N/A</v>
      </c>
    </row>
    <row r="97" spans="1:189" x14ac:dyDescent="0.25">
      <c r="A97" s="33"/>
      <c r="B97" s="34" t="s">
        <v>215</v>
      </c>
      <c r="D97" s="8" t="s">
        <v>216</v>
      </c>
      <c r="E97" s="35" t="s">
        <v>217</v>
      </c>
      <c r="G97" s="40" t="s">
        <v>281</v>
      </c>
      <c r="I97" s="41" t="s">
        <v>294</v>
      </c>
      <c r="DP97" s="23"/>
      <c r="DQ97" s="21" t="str">
        <f ca="1">A2</f>
        <v>8_22 Skyscraper_1</v>
      </c>
      <c r="DR97" s="4">
        <v>10</v>
      </c>
      <c r="DS97" s="21" t="str">
        <v/>
      </c>
      <c r="DT97" s="21">
        <v>4</v>
      </c>
      <c r="DU97" s="21">
        <v>7</v>
      </c>
      <c r="DV97" s="1" t="b" cm="1">
        <f t="array" ref="DV97">OpeningPick(MIN(IF(ES16=FALSE,300,ES16),IF(ES32=FALSE,300,ES32),IF(ES48=FALSE,300,ES48),IF(ES64=FALSE,300,ES64),IF(ES80=FALSE,300,ES80),IF(FB97=FALSE,300,FB97)),DV16,DV32,DV48,DV64,DV80)</f>
        <v>1</v>
      </c>
      <c r="DW97" s="21" t="b">
        <f t="shared" si="60"/>
        <v>0</v>
      </c>
      <c r="DX97" s="21" cm="1">
        <f t="array" ref="DX97">ConvertToRoundTime(secandmin(CK34),secandmin(CJ34),NOT(ISBLANK(CJ34)))</f>
        <v>154</v>
      </c>
      <c r="DY97" s="13" t="b" cm="1">
        <f t="array" ref="DY97">FiveVThreeThrown(MAX(ES16,ES32,ES48,ES64,ES80,FA97),MAX(EZ16,EZ32,EZ48,EZ64,EZ80,FI97),DV16,DV32,DV48,DV64,DV80,EF97)</f>
        <v>0</v>
      </c>
      <c r="DZ97" s="1" t="b">
        <f t="shared" si="61"/>
        <v>0</v>
      </c>
      <c r="EA97" s="21" t="str">
        <v>Defense</v>
      </c>
      <c r="EB97" s="21" cm="1">
        <f t="array" ref="EB97">ConvertToRoundTime(secandmin(CK34),secandmin(CJ34),NOT(ISBLANK(CJ34)))</f>
        <v>154</v>
      </c>
      <c r="EC97" s="21" t="b" cm="1">
        <f t="array" ref="EC97">IF(ISERROR(180-secandmin(CJ34)),FALSE,180-secandmin(CJ34))</f>
        <v>0</v>
      </c>
      <c r="ED97" s="21" t="str">
        <v>Unspecified</v>
      </c>
      <c r="EE97" s="21" t="str">
        <v>TeaKaraoke</v>
      </c>
      <c r="EF97" s="21" t="str">
        <v>Won</v>
      </c>
      <c r="EG97" s="1"/>
      <c r="EH97" s="23"/>
      <c r="EV97" s="1" t="b">
        <f t="shared" si="62"/>
        <v>1</v>
      </c>
      <c r="EW97" s="1" t="str">
        <f t="shared" ca="1" si="63"/>
        <v>8_22 Skyscraper_1</v>
      </c>
      <c r="EX97" s="1" t="b" cm="1">
        <f t="array" ref="EX97">OpeningKill(FB97,ES80,ES64,ES48,ES32,ES16,DV16,DV32,DV48,DV64,DV80)</f>
        <v>0</v>
      </c>
      <c r="EY97" s="1" t="str" cm="1">
        <f t="array" ref="EY97:FD97">DetermineKill(ConvertToRoundTime(secandmin(BS16),secandmin(CJ34),BT16),BR16,BV16,BW16,BU16,BY16,BX16,$O$7)</f>
        <v>NOLOC</v>
      </c>
      <c r="EZ97" s="1" t="b">
        <v>0</v>
      </c>
      <c r="FA97" s="1" t="b">
        <v>0</v>
      </c>
      <c r="FB97" s="1" t="b">
        <v>0</v>
      </c>
      <c r="FC97" s="1" t="b">
        <v>0</v>
      </c>
      <c r="FD97" s="1" t="b">
        <v>0</v>
      </c>
      <c r="FE97" s="1" t="str" cm="1">
        <f t="array" ref="FE97">DeathTraded(FB97,$O$7,DV16,$O$2,DV32,$O$3,DV48,$O$4,DV64,$O$5,DV80,$O$6,$R$2)</f>
        <v>N/A</v>
      </c>
      <c r="FF97" s="1" t="str" cm="1">
        <f t="array" ref="FF97:FK97">DetermineKill(ConvertToRoundTime(secandmin(CB16),secandmin(CJ34),CC16),CA16,CE16,CF16,CD16,CH16,CG16,$O$7)</f>
        <v>NOLOC</v>
      </c>
      <c r="FG97" s="1" t="b">
        <v>0</v>
      </c>
      <c r="FH97" s="1" t="b">
        <v>0</v>
      </c>
      <c r="FI97" s="1" t="b">
        <v>0</v>
      </c>
      <c r="FJ97" s="1" t="b">
        <v>0</v>
      </c>
      <c r="FK97" s="1" t="b">
        <v>0</v>
      </c>
      <c r="FL97" s="1" t="str" cm="1">
        <f t="array" ref="FL97">DeathTraded(FI97,$O$7,DV16,$O$2,DV32,$O$3,DV48,$O$4,DV64,$O$5,DV80,$O$6,$R$2)</f>
        <v>N/A</v>
      </c>
      <c r="FM97" s="1" t="str" cm="1">
        <f t="array" ref="FM97:FR97">DetermineKill(ConvertToRoundTime(secandmin(CK16),secandmin(CJ34),CL16),CJ16,CN16,CO16,CM16,CQ16,CP16,$O$7)</f>
        <v>NOLOC</v>
      </c>
      <c r="FN97" s="1" t="b">
        <v>0</v>
      </c>
      <c r="FO97" s="1" t="b">
        <v>0</v>
      </c>
      <c r="FP97" s="1" t="b">
        <v>0</v>
      </c>
      <c r="FQ97" s="1" t="b">
        <v>0</v>
      </c>
      <c r="FR97" s="1" t="b">
        <v>0</v>
      </c>
      <c r="FS97" s="1" t="str" cm="1">
        <f t="array" ref="FS97">DeathTraded(FP97,$O$7,DV16,$O$2,DV32,$O$3,DV48,$O$4,DV64,$O$5,DV80,$O$6,$R$2)</f>
        <v>N/A</v>
      </c>
      <c r="FT97" s="1" t="str" cm="1">
        <f t="array" ref="FT97:FY97">DetermineKill(ConvertToRoundTime(secandmin(CT16),secandmin(CJ34),CU16),CS16,CW16,CX16,CV16,CZ16,CY16,$O$7)</f>
        <v>NOLOC</v>
      </c>
      <c r="FU97" s="1" t="b">
        <v>0</v>
      </c>
      <c r="FV97" s="1" t="b">
        <v>0</v>
      </c>
      <c r="FW97" s="1" t="b">
        <v>0</v>
      </c>
      <c r="FX97" s="1" t="b">
        <v>0</v>
      </c>
      <c r="FY97" s="1" t="b">
        <v>0</v>
      </c>
      <c r="FZ97" s="1" t="str" cm="1">
        <f t="array" ref="FZ97">DeathTraded(FW97,$O$7,DV16,$O$2,DV32,$O$3,DV48,$O$4,DV64,$O$5,DV80,$O$6,$R$2)</f>
        <v>N/A</v>
      </c>
      <c r="GA97" s="1" t="str" cm="1">
        <f t="array" ref="GA97:GF97">DetermineKill(ConvertToRoundTime(secandmin(DC16),secandmin(CJ34),DD16),DB16,DF16,DG16,DE16,DI16,DH16,$O$7)</f>
        <v>NOLOC</v>
      </c>
      <c r="GB97" s="1" t="b">
        <v>0</v>
      </c>
      <c r="GC97" s="1" t="b">
        <v>0</v>
      </c>
      <c r="GD97" s="1" t="b">
        <v>0</v>
      </c>
      <c r="GE97" s="1" t="b">
        <v>0</v>
      </c>
      <c r="GF97" s="1" t="b">
        <v>0</v>
      </c>
      <c r="GG97" s="1" t="str" cm="1">
        <f t="array" ref="GG97">DeathTraded(GD97,$O$7,DV16,$O$2,DV32,$O$3,DV48,$O$4,DV64,$O$5,DV80,$O$6,$R$2)</f>
        <v>N/A</v>
      </c>
    </row>
    <row r="98" spans="1:189" x14ac:dyDescent="0.25">
      <c r="A98" s="2" t="s">
        <v>211</v>
      </c>
      <c r="B98" s="1" t="str" cm="1">
        <f t="array" aca="1" ref="B98:B101" ca="1">INDIRECT(_xlfn.SWITCH(C2,"BORDER",REF!F2,"CHALET",REF!F3,"CLUBHOUSE",REF!F4,"BANK",REF!F5,"KAFE",REF!F6,"OREGON",REF!F7,"SKYSCRAPER",REF!F8,"THEME PARK",REF!F9,"VILLA",REF!F10))</f>
        <v>TeaKaraoke</v>
      </c>
      <c r="D98" t="str" cm="1">
        <f t="array" aca="1" ref="D98:D130" ca="1">INDIRECT(REF!L2)</f>
        <v>Azami</v>
      </c>
      <c r="E98" t="str" cm="1">
        <f t="array" aca="1" ref="E98:E130" ca="1">INDIRECT(REF!M2)</f>
        <v>Osa</v>
      </c>
      <c r="G98" s="42" t="e" cm="1">
        <f t="array" aca="1" ref="G98" ca="1">INDIRECT(_xlfn.SWITCH(C2,"BORDER",CALLOUTMAP!A2,"CHALET",CALLOUTMAP!B2,"CLUBHOUSE",CALLOUTMAP!C2,"BANK",CALLOUTMAP!D2,"KAFE",CALLOUTMAP!E2,"OREGON",CALLOUTMAP!F2,"SKYSCRAPER",CALLOUTMAP!G2,"THEME PARK",CALLOUTMAP!H2,"VILLA",CALLOUTMAP!I2))</f>
        <v>#REF!</v>
      </c>
      <c r="I98" s="42"/>
      <c r="DP98" s="23"/>
      <c r="DQ98" s="21" t="str">
        <f ca="1">A2</f>
        <v>8_22 Skyscraper_1</v>
      </c>
      <c r="DR98" s="5">
        <v>11</v>
      </c>
      <c r="DS98" s="21" t="str">
        <v/>
      </c>
      <c r="DT98" s="21">
        <v>1</v>
      </c>
      <c r="DU98" s="21">
        <v>6</v>
      </c>
      <c r="DV98" s="1" t="b" cm="1">
        <f t="array" ref="DV98">OpeningPick(MIN(IF(ES17=FALSE,300,ES17),IF(ES33=FALSE,300,ES33),IF(ES49=FALSE,300,ES49),IF(ES65=FALSE,300,ES65),IF(ES81=FALSE,300,ES81),IF(FB98=FALSE,300,FB98)),DV17,DV33,DV49,DV65,DV81)</f>
        <v>0</v>
      </c>
      <c r="DW98" s="21" t="b">
        <f t="shared" si="60"/>
        <v>0</v>
      </c>
      <c r="DX98" s="21" cm="1">
        <f t="array" ref="DX98">ConvertToRoundTime(secandmin(CK35),secandmin(CJ35),NOT(ISBLANK(CJ35)))</f>
        <v>127</v>
      </c>
      <c r="DY98" s="13" t="b" cm="1">
        <f t="array" ref="DY98">FiveVThreeThrown(MAX(ES17,ES33,ES49,ES65,ES81,FA98),MAX(EZ17,EZ33,EZ49,EZ65,EZ81,FI98),DV17,DV33,DV49,DV65,DV81,EF98)</f>
        <v>0</v>
      </c>
      <c r="DZ98" s="1" t="b">
        <f t="shared" si="61"/>
        <v>0</v>
      </c>
      <c r="EA98" s="21" t="str">
        <v>Defense</v>
      </c>
      <c r="EB98" s="21" cm="1">
        <f t="array" ref="EB98">ConvertToRoundTime(secandmin(CK35),secandmin(CJ35),NOT(ISBLANK(CJ35)))</f>
        <v>127</v>
      </c>
      <c r="EC98" s="21" t="b" cm="1">
        <f t="array" ref="EC98">IF(ISERROR(180-secandmin(CJ35)),FALSE,180-secandmin(CJ35))</f>
        <v>0</v>
      </c>
      <c r="ED98" s="21" t="str">
        <v>Unspecified</v>
      </c>
      <c r="EE98" s="21" t="str">
        <v>WorkExibition</v>
      </c>
      <c r="EF98" s="21" t="str">
        <v>Won</v>
      </c>
      <c r="EG98" s="1"/>
      <c r="EH98" s="23"/>
      <c r="EV98" s="1" t="b">
        <f t="shared" si="62"/>
        <v>1</v>
      </c>
      <c r="EW98" s="1" t="str">
        <f t="shared" ca="1" si="63"/>
        <v>8_22 Skyscraper_1</v>
      </c>
      <c r="EX98" s="1" t="b" cm="1">
        <f t="array" ref="EX98">OpeningKill(FB98,ES81,ES65,ES49,ES33,ES17,DV17,DV33,DV49,DV65,DV81)</f>
        <v>0</v>
      </c>
      <c r="EY98" s="1" t="str" cm="1">
        <f t="array" ref="EY98:FD98">DetermineKill(ConvertToRoundTime(secandmin(BS17),secandmin(CJ35),BT17),BR17,BV17,BW17,BU17,BY17,BX17,$O$7)</f>
        <v>NOLOC</v>
      </c>
      <c r="EZ98" s="1" t="b">
        <v>0</v>
      </c>
      <c r="FA98" s="1" t="b">
        <v>0</v>
      </c>
      <c r="FB98" s="1" t="b">
        <v>0</v>
      </c>
      <c r="FC98" s="1" t="b">
        <v>0</v>
      </c>
      <c r="FD98" s="1" t="b">
        <v>0</v>
      </c>
      <c r="FE98" s="1" t="str" cm="1">
        <f t="array" ref="FE98">DeathTraded(FB98,$O$7,DV17,$O$2,DV33,$O$3,DV49,$O$4,DV65,$O$5,DV81,$O$6,$R$2)</f>
        <v>N/A</v>
      </c>
      <c r="FF98" s="1" t="str" cm="1">
        <f t="array" ref="FF98:FK98">DetermineKill(ConvertToRoundTime(secandmin(CB17),secandmin(CJ35),CC17),CA17,CE17,CF17,CD17,CH17,CG17,$O$7)</f>
        <v>NOLOC</v>
      </c>
      <c r="FG98" s="1" t="b">
        <v>0</v>
      </c>
      <c r="FH98" s="1" t="b">
        <v>0</v>
      </c>
      <c r="FI98" s="1" t="b">
        <v>0</v>
      </c>
      <c r="FJ98" s="1" t="b">
        <v>0</v>
      </c>
      <c r="FK98" s="1" t="b">
        <v>0</v>
      </c>
      <c r="FL98" s="1" t="str" cm="1">
        <f t="array" ref="FL98">DeathTraded(FI98,$O$7,DV17,$O$2,DV33,$O$3,DV49,$O$4,DV65,$O$5,DV81,$O$6,$R$2)</f>
        <v>N/A</v>
      </c>
      <c r="FM98" s="1" t="str" cm="1">
        <f t="array" ref="FM98:FR98">DetermineKill(ConvertToRoundTime(secandmin(CK17),secandmin(CJ35),CL17),CJ17,CN17,CO17,CM17,CQ17,CP17,$O$7)</f>
        <v>NOLOC</v>
      </c>
      <c r="FN98" s="1" t="b">
        <v>0</v>
      </c>
      <c r="FO98" s="1" t="b">
        <v>0</v>
      </c>
      <c r="FP98" s="1" t="b">
        <v>0</v>
      </c>
      <c r="FQ98" s="1" t="b">
        <v>0</v>
      </c>
      <c r="FR98" s="1" t="b">
        <v>0</v>
      </c>
      <c r="FS98" s="1" t="str" cm="1">
        <f t="array" ref="FS98">DeathTraded(FP98,$O$7,DV17,$O$2,DV33,$O$3,DV49,$O$4,DV65,$O$5,DV81,$O$6,$R$2)</f>
        <v>N/A</v>
      </c>
      <c r="FT98" s="1" t="str" cm="1">
        <f t="array" ref="FT98:FY98">DetermineKill(ConvertToRoundTime(secandmin(CT17),secandmin(CJ35),CU17),CS17,CW17,CX17,CV17,CZ17,CY17,$O$7)</f>
        <v>NOLOC</v>
      </c>
      <c r="FU98" s="1" t="b">
        <v>0</v>
      </c>
      <c r="FV98" s="1" t="b">
        <v>0</v>
      </c>
      <c r="FW98" s="1" t="b">
        <v>0</v>
      </c>
      <c r="FX98" s="1" t="b">
        <v>0</v>
      </c>
      <c r="FY98" s="1" t="b">
        <v>0</v>
      </c>
      <c r="FZ98" s="1" t="str" cm="1">
        <f t="array" ref="FZ98">DeathTraded(FW98,$O$7,DV17,$O$2,DV33,$O$3,DV49,$O$4,DV65,$O$5,DV81,$O$6,$R$2)</f>
        <v>N/A</v>
      </c>
      <c r="GA98" s="1" t="str" cm="1">
        <f t="array" ref="GA98:GF98">DetermineKill(ConvertToRoundTime(secandmin(DC17),secandmin(CJ35),DD17),DB17,DF17,DG17,DE17,DI17,DH17,$O$7)</f>
        <v>NOLOC</v>
      </c>
      <c r="GB98" s="1" t="b">
        <v>0</v>
      </c>
      <c r="GC98" s="1" t="b">
        <v>0</v>
      </c>
      <c r="GD98" s="1" t="b">
        <v>0</v>
      </c>
      <c r="GE98" s="1" t="b">
        <v>0</v>
      </c>
      <c r="GF98" s="1" t="b">
        <v>0</v>
      </c>
      <c r="GG98" s="1" t="str" cm="1">
        <f t="array" ref="GG98">DeathTraded(GD98,$O$7,DV17,$O$2,DV33,$O$3,DV49,$O$4,DV65,$O$5,DV81,$O$6,$R$2)</f>
        <v>N/A</v>
      </c>
    </row>
    <row r="99" spans="1:189" x14ac:dyDescent="0.25">
      <c r="A99" s="14" t="s">
        <v>212</v>
      </c>
      <c r="B99" s="1" t="str">
        <f ca="1"/>
        <v>WorkExibition</v>
      </c>
      <c r="D99" t="str">
        <f ca="1"/>
        <v>Thorn</v>
      </c>
      <c r="E99" t="str">
        <f ca="1"/>
        <v>Flores</v>
      </c>
      <c r="G99" s="42"/>
      <c r="I99" s="42"/>
      <c r="DP99" s="23"/>
      <c r="DQ99" s="21" t="str">
        <f ca="1">A2</f>
        <v>8_22 Skyscraper_1</v>
      </c>
      <c r="DR99" s="4">
        <v>12</v>
      </c>
      <c r="DS99" s="21" t="str">
        <v/>
      </c>
      <c r="DT99" s="21" t="str">
        <v/>
      </c>
      <c r="DU99" s="21" t="str">
        <v/>
      </c>
      <c r="DV99" s="1" t="b" cm="1">
        <f t="array" ref="DV99">OpeningPick(MIN(IF(ES18=FALSE,300,ES18),IF(ES34=FALSE,300,ES34),IF(ES50=FALSE,300,ES50),IF(ES66=FALSE,300,ES66),IF(ES82=FALSE,300,ES82),IF(FB99=FALSE,300,FB99)),DV18,DV34,DV50,DV66,DV82)</f>
        <v>0</v>
      </c>
      <c r="DW99" s="21" t="b">
        <f t="shared" si="60"/>
        <v>0</v>
      </c>
      <c r="DX99" s="21" t="b" cm="1">
        <f t="array" ref="DX99">ConvertToRoundTime(secandmin(CK36),secandmin(CJ36),NOT(ISBLANK(CJ36)))</f>
        <v>0</v>
      </c>
      <c r="DY99" s="13" t="str" cm="1">
        <f t="array" ref="DY99">FiveVThreeThrown(MAX(ES18,ES34,ES50,ES66,ES82,FA99),MAX(EZ18,EZ34,EZ50,EZ66,EZ82,FI99),DV18,DV34,DV50,DV66,DV82,EF99)</f>
        <v>NP</v>
      </c>
      <c r="DZ99" s="1" t="b">
        <f t="shared" si="61"/>
        <v>0</v>
      </c>
      <c r="EA99" s="21" t="str">
        <v>Not Played</v>
      </c>
      <c r="EB99" s="21" t="b" cm="1">
        <f t="array" ref="EB99">ConvertToRoundTime(secandmin(CK36),secandmin(CJ36),NOT(ISBLANK(CJ36)))</f>
        <v>0</v>
      </c>
      <c r="EC99" s="21" t="b" cm="1">
        <f t="array" ref="EC99">IF(ISERROR(180-secandmin(CJ36)),FALSE,180-secandmin(CJ36))</f>
        <v>0</v>
      </c>
      <c r="ED99" s="21" t="str">
        <v>Unspecified</v>
      </c>
      <c r="EE99" s="21" t="str">
        <v>Not Played</v>
      </c>
      <c r="EF99" s="21" t="str">
        <v>Not Played</v>
      </c>
      <c r="EG99" s="1"/>
      <c r="EH99" s="23"/>
      <c r="EV99" s="1" t="b">
        <f t="shared" si="62"/>
        <v>0</v>
      </c>
      <c r="EW99" s="1" t="str">
        <f t="shared" ca="1" si="63"/>
        <v>8_22 Skyscraper_1</v>
      </c>
      <c r="EX99" s="1" t="b" cm="1">
        <f t="array" ref="EX99">OpeningKill(FB99,ES82,ES66,ES50,ES34,ES18,DV18,DV34,DV50,DV66,DV82)</f>
        <v>0</v>
      </c>
      <c r="EY99" s="1" t="str" cm="1">
        <f t="array" ref="EY99:FD99">DetermineKill(ConvertToRoundTime(secandmin(BS18),secandmin(CJ36),BT18),BR18,BV18,BW18,BU18,BY18,BX18,$O$7)</f>
        <v>NOLOC</v>
      </c>
      <c r="EZ99" s="1" t="b">
        <v>0</v>
      </c>
      <c r="FA99" s="1" t="b">
        <v>0</v>
      </c>
      <c r="FB99" s="1" t="b">
        <v>0</v>
      </c>
      <c r="FC99" s="1" t="b">
        <v>0</v>
      </c>
      <c r="FD99" s="1" t="b">
        <v>0</v>
      </c>
      <c r="FE99" s="1" t="str" cm="1">
        <f t="array" ref="FE99">DeathTraded(FB99,$O$7,DV18,$O$2,DV34,$O$3,DV50,$O$4,DV66,$O$5,DV82,$O$6,$R$2)</f>
        <v>N/A</v>
      </c>
      <c r="FF99" s="1" t="str" cm="1">
        <f t="array" ref="FF99:FK99">DetermineKill(ConvertToRoundTime(secandmin(CB18),secandmin(CJ36),CC18),CA18,CE18,CF18,CD18,CH18,CG18,$O$7)</f>
        <v>NOLOC</v>
      </c>
      <c r="FG99" s="1" t="b">
        <v>0</v>
      </c>
      <c r="FH99" s="1" t="b">
        <v>0</v>
      </c>
      <c r="FI99" s="1" t="b">
        <v>0</v>
      </c>
      <c r="FJ99" s="1" t="b">
        <v>0</v>
      </c>
      <c r="FK99" s="1" t="b">
        <v>0</v>
      </c>
      <c r="FL99" s="1" t="str" cm="1">
        <f t="array" ref="FL99">DeathTraded(FI99,$O$7,DV18,$O$2,DV34,$O$3,DV50,$O$4,DV66,$O$5,DV82,$O$6,$R$2)</f>
        <v>N/A</v>
      </c>
      <c r="FM99" s="1" t="str" cm="1">
        <f t="array" ref="FM99:FR99">DetermineKill(ConvertToRoundTime(secandmin(CK18),secandmin(CJ36),CL18),CJ18,CN18,CO18,CM18,CQ18,CP18,$O$7)</f>
        <v>NOLOC</v>
      </c>
      <c r="FN99" s="1" t="b">
        <v>0</v>
      </c>
      <c r="FO99" s="1" t="b">
        <v>0</v>
      </c>
      <c r="FP99" s="1" t="b">
        <v>0</v>
      </c>
      <c r="FQ99" s="1" t="b">
        <v>0</v>
      </c>
      <c r="FR99" s="1" t="b">
        <v>0</v>
      </c>
      <c r="FS99" s="1" t="str" cm="1">
        <f t="array" ref="FS99">DeathTraded(FP99,$O$7,DV18,$O$2,DV34,$O$3,DV50,$O$4,DV66,$O$5,DV82,$O$6,$R$2)</f>
        <v>N/A</v>
      </c>
      <c r="FT99" s="1" t="str" cm="1">
        <f t="array" ref="FT99:FY99">DetermineKill(ConvertToRoundTime(secandmin(CT18),secandmin(CJ36),CU18),CS18,CW18,CX18,CV18,CZ18,CY18,$O$7)</f>
        <v>NOLOC</v>
      </c>
      <c r="FU99" s="1" t="b">
        <v>0</v>
      </c>
      <c r="FV99" s="1" t="b">
        <v>0</v>
      </c>
      <c r="FW99" s="1" t="b">
        <v>0</v>
      </c>
      <c r="FX99" s="1" t="b">
        <v>0</v>
      </c>
      <c r="FY99" s="1" t="b">
        <v>0</v>
      </c>
      <c r="FZ99" s="1" t="str" cm="1">
        <f t="array" ref="FZ99">DeathTraded(FW99,$O$7,DV18,$O$2,DV34,$O$3,DV50,$O$4,DV66,$O$5,DV82,$O$6,$R$2)</f>
        <v>N/A</v>
      </c>
      <c r="GA99" s="1" t="str" cm="1">
        <f t="array" ref="GA99:GF99">DetermineKill(ConvertToRoundTime(secandmin(DC18),secandmin(CJ36),DD18),DB18,DF18,DG18,DE18,DI18,DH18,$O$7)</f>
        <v>NOLOC</v>
      </c>
      <c r="GB99" s="1" t="b">
        <v>0</v>
      </c>
      <c r="GC99" s="1" t="b">
        <v>0</v>
      </c>
      <c r="GD99" s="1" t="b">
        <v>0</v>
      </c>
      <c r="GE99" s="1" t="b">
        <v>0</v>
      </c>
      <c r="GF99" s="1" t="b">
        <v>0</v>
      </c>
      <c r="GG99" s="1" t="str" cm="1">
        <f t="array" ref="GG99">DeathTraded(GD99,$O$7,DV18,$O$2,DV34,$O$3,DV50,$O$4,DV66,$O$5,DV82,$O$6,$R$2)</f>
        <v>N/A</v>
      </c>
    </row>
    <row r="100" spans="1:189" x14ac:dyDescent="0.25">
      <c r="A100" s="2" t="s">
        <v>213</v>
      </c>
      <c r="B100" s="1" t="str">
        <f ca="1"/>
        <v>BBQKitchen</v>
      </c>
      <c r="D100" t="str">
        <f ca="1"/>
        <v>Thunderbird</v>
      </c>
      <c r="E100" t="str">
        <f ca="1"/>
        <v>Zero</v>
      </c>
      <c r="G100" s="42"/>
      <c r="I100" s="42"/>
      <c r="DP100" s="23"/>
      <c r="DQ100" s="21" t="str">
        <f ca="1">A2</f>
        <v>8_22 Skyscraper_1</v>
      </c>
      <c r="DR100" s="5">
        <v>13</v>
      </c>
      <c r="DS100" s="21" t="str">
        <v/>
      </c>
      <c r="DT100" s="21" t="str">
        <v/>
      </c>
      <c r="DU100" s="21" t="str">
        <v/>
      </c>
      <c r="DV100" s="1" t="b" cm="1">
        <f t="array" ref="DV100">OpeningPick(MIN(IF(ES19=FALSE,300,ES19),IF(ES35=FALSE,300,ES35),IF(ES51=FALSE,300,ES51),IF(ES67=FALSE,300,ES67),IF(ES83=FALSE,300,ES83),IF(FB100=FALSE,300,FB100)),DV19,DV35,DV51,DV67,DV83)</f>
        <v>0</v>
      </c>
      <c r="DW100" s="21" t="b">
        <f t="shared" si="60"/>
        <v>0</v>
      </c>
      <c r="DX100" s="21" t="b" cm="1">
        <f t="array" ref="DX100">ConvertToRoundTime(secandmin(CK37),secandmin(CJ37),NOT(ISBLANK(CJ37)))</f>
        <v>0</v>
      </c>
      <c r="DY100" s="13" t="str" cm="1">
        <f t="array" ref="DY100">FiveVThreeThrown(MAX(ES19,ES35,ES51,ES67,ES83,FA100),MAX(EZ19,EZ35,EZ51,EZ67,EZ83,FI100),DV19,DV35,DV51,DV67,DV83,EF100)</f>
        <v>NP</v>
      </c>
      <c r="DZ100" s="1" t="b">
        <f t="shared" si="61"/>
        <v>0</v>
      </c>
      <c r="EA100" s="21" t="str">
        <v>Not Played</v>
      </c>
      <c r="EB100" s="21" t="b" cm="1">
        <f t="array" ref="EB100">ConvertToRoundTime(secandmin(CK37),secandmin(CJ37),NOT(ISBLANK(CJ37)))</f>
        <v>0</v>
      </c>
      <c r="EC100" s="21" t="b" cm="1">
        <f t="array" ref="EC100">IF(ISERROR(180-secandmin(CJ37)),FALSE,180-secandmin(CJ37))</f>
        <v>0</v>
      </c>
      <c r="ED100" s="21" t="str">
        <v>Unspecified</v>
      </c>
      <c r="EE100" s="21" t="str">
        <v>Not Played</v>
      </c>
      <c r="EF100" s="21" t="str">
        <v>Not Played</v>
      </c>
      <c r="EG100" s="1"/>
      <c r="EH100" s="23"/>
      <c r="EV100" s="1" t="b">
        <f t="shared" si="62"/>
        <v>0</v>
      </c>
      <c r="EW100" s="1" t="str">
        <f t="shared" ca="1" si="63"/>
        <v>8_22 Skyscraper_1</v>
      </c>
      <c r="EX100" s="1" t="b" cm="1">
        <f t="array" ref="EX100">OpeningKill(FB100,ES83,ES67,ES51,ES35,ES19,DV19,DV35,DV51,DV67,DV83)</f>
        <v>0</v>
      </c>
      <c r="EY100" s="1" t="str" cm="1">
        <f t="array" ref="EY100:FD100">DetermineKill(ConvertToRoundTime(secandmin(BS19),secandmin(CJ37),BT19),BR19,BV19,BW19,BU19,BY19,BX19,$O$7)</f>
        <v>NOLOC</v>
      </c>
      <c r="EZ100" s="1" t="b">
        <v>0</v>
      </c>
      <c r="FA100" s="1" t="b">
        <v>0</v>
      </c>
      <c r="FB100" s="1" t="b">
        <v>0</v>
      </c>
      <c r="FC100" s="1" t="b">
        <v>0</v>
      </c>
      <c r="FD100" s="1" t="b">
        <v>0</v>
      </c>
      <c r="FE100" s="1" t="str" cm="1">
        <f t="array" ref="FE100">DeathTraded(FB100,$O$7,DV19,$O$2,DV35,$O$3,DV51,$O$4,DV67,$O$5,DV83,$O$6,$R$2)</f>
        <v>N/A</v>
      </c>
      <c r="FF100" s="1" t="str" cm="1">
        <f t="array" ref="FF100:FK100">DetermineKill(ConvertToRoundTime(secandmin(CB19),secandmin(CJ37),CC19),CA19,CE19,CF19,CD19,CH19,CG19,$O$7)</f>
        <v>NOLOC</v>
      </c>
      <c r="FG100" s="1" t="b">
        <v>0</v>
      </c>
      <c r="FH100" s="1" t="b">
        <v>0</v>
      </c>
      <c r="FI100" s="1" t="b">
        <v>0</v>
      </c>
      <c r="FJ100" s="1" t="b">
        <v>0</v>
      </c>
      <c r="FK100" s="1" t="b">
        <v>0</v>
      </c>
      <c r="FL100" s="1" t="str" cm="1">
        <f t="array" ref="FL100">DeathTraded(FI100,$O$7,DV19,$O$2,DV35,$O$3,DV51,$O$4,DV67,$O$5,DV83,$O$6,$R$2)</f>
        <v>N/A</v>
      </c>
      <c r="FM100" s="1" t="str" cm="1">
        <f t="array" ref="FM100:FR100">DetermineKill(ConvertToRoundTime(secandmin(CK19),secandmin(CJ37),CL19),CJ19,CN19,CO19,CM19,CQ19,CP19,$O$7)</f>
        <v>NOLOC</v>
      </c>
      <c r="FN100" s="1" t="b">
        <v>0</v>
      </c>
      <c r="FO100" s="1" t="b">
        <v>0</v>
      </c>
      <c r="FP100" s="1" t="b">
        <v>0</v>
      </c>
      <c r="FQ100" s="1" t="b">
        <v>0</v>
      </c>
      <c r="FR100" s="1" t="b">
        <v>0</v>
      </c>
      <c r="FS100" s="1" t="str" cm="1">
        <f t="array" ref="FS100">DeathTraded(FP100,$O$7,DV19,$O$2,DV35,$O$3,DV51,$O$4,DV67,$O$5,DV83,$O$6,$R$2)</f>
        <v>N/A</v>
      </c>
      <c r="FT100" s="1" t="str" cm="1">
        <f t="array" ref="FT100:FY100">DetermineKill(ConvertToRoundTime(secandmin(CT19),secandmin(CJ37),CU19),CS19,CW19,CX19,CV19,CZ19,CY19,$O$7)</f>
        <v>NOLOC</v>
      </c>
      <c r="FU100" s="1" t="b">
        <v>0</v>
      </c>
      <c r="FV100" s="1" t="b">
        <v>0</v>
      </c>
      <c r="FW100" s="1" t="b">
        <v>0</v>
      </c>
      <c r="FX100" s="1" t="b">
        <v>0</v>
      </c>
      <c r="FY100" s="1" t="b">
        <v>0</v>
      </c>
      <c r="FZ100" s="1" t="str" cm="1">
        <f t="array" ref="FZ100">DeathTraded(FW100,$O$7,DV19,$O$2,DV35,$O$3,DV51,$O$4,DV67,$O$5,DV83,$O$6,$R$2)</f>
        <v>N/A</v>
      </c>
      <c r="GA100" s="1" t="str" cm="1">
        <f t="array" ref="GA100:GF100">DetermineKill(ConvertToRoundTime(secandmin(DC19),secandmin(CJ37),DD19),DB19,DF19,DG19,DE19,DI19,DH19,$O$7)</f>
        <v>NOLOC</v>
      </c>
      <c r="GB100" s="1" t="b">
        <v>0</v>
      </c>
      <c r="GC100" s="1" t="b">
        <v>0</v>
      </c>
      <c r="GD100" s="1" t="b">
        <v>0</v>
      </c>
      <c r="GE100" s="1" t="b">
        <v>0</v>
      </c>
      <c r="GF100" s="1" t="b">
        <v>0</v>
      </c>
      <c r="GG100" s="1" t="str" cm="1">
        <f t="array" ref="GG100">DeathTraded(GD100,$O$7,DV19,$O$2,DV35,$O$3,DV51,$O$4,DV67,$O$5,DV83,$O$6,$R$2)</f>
        <v>N/A</v>
      </c>
    </row>
    <row r="101" spans="1:189" x14ac:dyDescent="0.25">
      <c r="A101" s="14" t="s">
        <v>214</v>
      </c>
      <c r="B101" s="1" t="str">
        <f ca="1"/>
        <v>BedroomBathroom</v>
      </c>
      <c r="D101" t="str">
        <f ca="1"/>
        <v>Aruni</v>
      </c>
      <c r="E101" t="str">
        <f ca="1"/>
        <v>Ace</v>
      </c>
      <c r="G101" s="42"/>
      <c r="I101" s="42"/>
      <c r="DP101" s="23"/>
      <c r="DQ101" s="21" t="str">
        <f ca="1">A2</f>
        <v>8_22 Skyscraper_1</v>
      </c>
      <c r="DR101" s="4">
        <v>14</v>
      </c>
      <c r="DS101" s="21" t="str">
        <v/>
      </c>
      <c r="DT101" s="21" t="str">
        <v/>
      </c>
      <c r="DU101" s="21" t="str">
        <v/>
      </c>
      <c r="DV101" s="1" t="b" cm="1">
        <f t="array" ref="DV101">OpeningPick(MIN(IF(ES20=FALSE,300,ES20),IF(ES36=FALSE,300,ES36),IF(ES52=FALSE,300,ES52),IF(ES68=FALSE,300,ES68),IF(ES84=FALSE,300,ES84),IF(FB101=FALSE,300,FB101)),DV20,DV36,DV52,DV68,DV84)</f>
        <v>0</v>
      </c>
      <c r="DW101" s="21" t="b">
        <f t="shared" si="60"/>
        <v>0</v>
      </c>
      <c r="DX101" s="21" t="b" cm="1">
        <f t="array" ref="DX101">ConvertToRoundTime(secandmin(CK38),secandmin(CJ38),NOT(ISBLANK(CJ38)))</f>
        <v>0</v>
      </c>
      <c r="DY101" s="13" t="str" cm="1">
        <f t="array" ref="DY101">FiveVThreeThrown(MAX(ES20,ES36,ES52,ES68,ES84,FA101),MAX(EZ20,EZ36,EZ52,EZ68,EZ84,FI101),DV20,DV36,DV52,DV68,DV84,EF101)</f>
        <v>NP</v>
      </c>
      <c r="DZ101" s="1" t="b">
        <f t="shared" si="61"/>
        <v>0</v>
      </c>
      <c r="EA101" s="21" t="str">
        <v>Not Played</v>
      </c>
      <c r="EB101" s="21" t="b" cm="1">
        <f t="array" ref="EB101">ConvertToRoundTime(secandmin(CK38),secandmin(CJ38),NOT(ISBLANK(CJ38)))</f>
        <v>0</v>
      </c>
      <c r="EC101" s="21" t="b" cm="1">
        <f t="array" ref="EC101">IF(ISERROR(180-secandmin(CJ38)),FALSE,180-secandmin(CJ38))</f>
        <v>0</v>
      </c>
      <c r="ED101" s="21" t="str">
        <v>Unspecified</v>
      </c>
      <c r="EE101" s="21" t="str">
        <v>Not Played</v>
      </c>
      <c r="EF101" s="21" t="str">
        <v>Not Played</v>
      </c>
      <c r="EG101" s="1"/>
      <c r="EH101" s="23"/>
      <c r="EV101" s="1" t="b">
        <f t="shared" si="62"/>
        <v>0</v>
      </c>
      <c r="EW101" s="1" t="str">
        <f t="shared" ca="1" si="63"/>
        <v>8_22 Skyscraper_1</v>
      </c>
      <c r="EX101" s="1" t="b" cm="1">
        <f t="array" ref="EX101">OpeningKill(FB101,ES84,ES68,ES52,ES36,ES20,DV20,DV36,DV52,DV68,DV84)</f>
        <v>0</v>
      </c>
      <c r="EY101" s="1" t="str" cm="1">
        <f t="array" ref="EY101:FD101">DetermineKill(ConvertToRoundTime(secandmin(BS20),secandmin(CJ38),BT20),BR20,BV20,BW20,BU20,BY20,BX20,$O$7)</f>
        <v>NOLOC</v>
      </c>
      <c r="EZ101" s="1" t="b">
        <v>0</v>
      </c>
      <c r="FA101" s="1" t="b">
        <v>0</v>
      </c>
      <c r="FB101" s="1" t="b">
        <v>0</v>
      </c>
      <c r="FC101" s="1" t="b">
        <v>0</v>
      </c>
      <c r="FD101" s="1" t="b">
        <v>0</v>
      </c>
      <c r="FE101" s="1" t="str" cm="1">
        <f t="array" ref="FE101">DeathTraded(FB101,$O$7,DV20,$O$2,DV36,$O$3,DV52,$O$4,DV68,$O$5,DV84,$O$6,$R$2)</f>
        <v>N/A</v>
      </c>
      <c r="FF101" s="1" t="str" cm="1">
        <f t="array" ref="FF101:FK101">DetermineKill(ConvertToRoundTime(secandmin(CB20),secandmin(CJ38),CC20),CA20,CE20,CF20,CD20,CH20,CG20,$O$7)</f>
        <v>NOLOC</v>
      </c>
      <c r="FG101" s="1" t="b">
        <v>0</v>
      </c>
      <c r="FH101" s="1" t="b">
        <v>0</v>
      </c>
      <c r="FI101" s="1" t="b">
        <v>0</v>
      </c>
      <c r="FJ101" s="1" t="b">
        <v>0</v>
      </c>
      <c r="FK101" s="1" t="b">
        <v>0</v>
      </c>
      <c r="FL101" s="1" t="str" cm="1">
        <f t="array" ref="FL101">DeathTraded(FI101,$O$7,DV20,$O$2,DV36,$O$3,DV52,$O$4,DV68,$O$5,DV84,$O$6,$R$2)</f>
        <v>N/A</v>
      </c>
      <c r="FM101" s="1" t="str" cm="1">
        <f t="array" ref="FM101:FR101">DetermineKill(ConvertToRoundTime(secandmin(CK20),secandmin(CJ38),CL20),CJ20,CN20,CO20,CM20,CQ20,CP20,$O$7)</f>
        <v>NOLOC</v>
      </c>
      <c r="FN101" s="1" t="b">
        <v>0</v>
      </c>
      <c r="FO101" s="1" t="b">
        <v>0</v>
      </c>
      <c r="FP101" s="1" t="b">
        <v>0</v>
      </c>
      <c r="FQ101" s="1" t="b">
        <v>0</v>
      </c>
      <c r="FR101" s="1" t="b">
        <v>0</v>
      </c>
      <c r="FS101" s="1" t="str" cm="1">
        <f t="array" ref="FS101">DeathTraded(FP101,$O$7,DV20,$O$2,DV36,$O$3,DV52,$O$4,DV68,$O$5,DV84,$O$6,$R$2)</f>
        <v>N/A</v>
      </c>
      <c r="FT101" s="1" t="str" cm="1">
        <f t="array" ref="FT101:FY101">DetermineKill(ConvertToRoundTime(secandmin(CT20),secandmin(CJ38),CU20),CS20,CW20,CX20,CV20,CZ20,CY20,$O$7)</f>
        <v>NOLOC</v>
      </c>
      <c r="FU101" s="1" t="b">
        <v>0</v>
      </c>
      <c r="FV101" s="1" t="b">
        <v>0</v>
      </c>
      <c r="FW101" s="1" t="b">
        <v>0</v>
      </c>
      <c r="FX101" s="1" t="b">
        <v>0</v>
      </c>
      <c r="FY101" s="1" t="b">
        <v>0</v>
      </c>
      <c r="FZ101" s="1" t="str" cm="1">
        <f t="array" ref="FZ101">DeathTraded(FW101,$O$7,DV20,$O$2,DV36,$O$3,DV52,$O$4,DV68,$O$5,DV84,$O$6,$R$2)</f>
        <v>N/A</v>
      </c>
      <c r="GA101" s="1" t="str" cm="1">
        <f t="array" ref="GA101:GF101">DetermineKill(ConvertToRoundTime(secandmin(DC20),secandmin(CJ38),DD20),DB20,DF20,DG20,DE20,DI20,DH20,$O$7)</f>
        <v>NOLOC</v>
      </c>
      <c r="GB101" s="1" t="b">
        <v>0</v>
      </c>
      <c r="GC101" s="1" t="b">
        <v>0</v>
      </c>
      <c r="GD101" s="1" t="b">
        <v>0</v>
      </c>
      <c r="GE101" s="1" t="b">
        <v>0</v>
      </c>
      <c r="GF101" s="1" t="b">
        <v>0</v>
      </c>
      <c r="GG101" s="1" t="str" cm="1">
        <f t="array" ref="GG101">DeathTraded(GD101,$O$7,DV20,$O$2,DV36,$O$3,DV52,$O$4,DV68,$O$5,DV84,$O$6,$R$2)</f>
        <v>N/A</v>
      </c>
    </row>
    <row r="102" spans="1:189" x14ac:dyDescent="0.25">
      <c r="B102" s="52" t="s">
        <v>325</v>
      </c>
      <c r="D102" t="str">
        <f ca="1"/>
        <v>Melusi</v>
      </c>
      <c r="E102" t="str">
        <f ca="1"/>
        <v>Iana</v>
      </c>
      <c r="G102" s="42"/>
      <c r="I102" s="42"/>
      <c r="DP102" s="23"/>
      <c r="DQ102" s="21" t="str">
        <f ca="1">A2</f>
        <v>8_22 Skyscraper_1</v>
      </c>
      <c r="DR102" s="5">
        <v>15</v>
      </c>
      <c r="DS102" s="21" t="str">
        <v/>
      </c>
      <c r="DT102" s="21" t="str">
        <v/>
      </c>
      <c r="DU102" s="21" t="str">
        <v/>
      </c>
      <c r="DV102" s="1" t="b" cm="1">
        <f t="array" ref="DV102">OpeningPick(MIN(IF(ES21=FALSE,300,ES21),IF(ES37=FALSE,300,ES37),IF(ES53=FALSE,300,ES53),IF(ES69=FALSE,300,ES69),IF(ES85=FALSE,300,ES85),IF(FB102=FALSE,300,FB102)),DV21,DV37,DV53,DV69,DV85)</f>
        <v>0</v>
      </c>
      <c r="DW102" s="21" t="b">
        <f t="shared" si="60"/>
        <v>0</v>
      </c>
      <c r="DX102" s="21" t="b" cm="1">
        <f t="array" ref="DX102">ConvertToRoundTime(secandmin(CK39),secandmin(CJ39),NOT(ISBLANK(CJ39)))</f>
        <v>0</v>
      </c>
      <c r="DY102" s="13" t="str" cm="1">
        <f t="array" ref="DY102">FiveVThreeThrown(MAX(ES21,ES37,ES53,ES69,ES85,FA102),MAX(EZ21,EZ37,EZ53,EZ69,EZ85,FI102),DV21,DV37,DV53,DV69,DV85,EF102)</f>
        <v>NP</v>
      </c>
      <c r="DZ102" s="1" t="b">
        <f t="shared" si="61"/>
        <v>0</v>
      </c>
      <c r="EA102" s="21" t="str">
        <v>Not Played</v>
      </c>
      <c r="EB102" s="21" t="b" cm="1">
        <f t="array" ref="EB102">ConvertToRoundTime(secandmin(CK39),secandmin(CJ39),NOT(ISBLANK(CJ39)))</f>
        <v>0</v>
      </c>
      <c r="EC102" s="21" t="b" cm="1">
        <f t="array" ref="EC102">IF(ISERROR(180-secandmin(CJ39)),FALSE,180-secandmin(CJ39))</f>
        <v>0</v>
      </c>
      <c r="ED102" s="21" t="str">
        <v>Unspecified</v>
      </c>
      <c r="EE102" s="21" t="str">
        <v>Not Played</v>
      </c>
      <c r="EF102" s="21" t="str">
        <v>Not Played</v>
      </c>
      <c r="EG102" s="1"/>
      <c r="EH102" s="23"/>
      <c r="EV102" s="1" t="b">
        <f t="shared" si="62"/>
        <v>0</v>
      </c>
      <c r="EW102" s="1" t="str">
        <f t="shared" ca="1" si="63"/>
        <v>8_22 Skyscraper_1</v>
      </c>
      <c r="EX102" s="1" t="b" cm="1">
        <f t="array" ref="EX102">OpeningKill(FB102,ES85,ES69,ES53,ES37,ES21,DV21,DV37,DV53,DV69,DV85)</f>
        <v>0</v>
      </c>
      <c r="EY102" s="1" t="str" cm="1">
        <f t="array" ref="EY102:FD102">DetermineKill(ConvertToRoundTime(secandmin(BS21),secandmin(CJ39),BT21),BR21,BV21,BW21,BU21,BY21,BX21,$O$7)</f>
        <v>NOLOC</v>
      </c>
      <c r="EZ102" s="1" t="b">
        <v>0</v>
      </c>
      <c r="FA102" s="1" t="b">
        <v>0</v>
      </c>
      <c r="FB102" s="1" t="b">
        <v>0</v>
      </c>
      <c r="FC102" s="1" t="b">
        <v>0</v>
      </c>
      <c r="FD102" s="1" t="b">
        <v>0</v>
      </c>
      <c r="FE102" s="1" t="str" cm="1">
        <f t="array" ref="FE102">DeathTraded(FB102,$O$7,DV21,$O$2,DV37,$O$3,DV53,$O$4,DV69,$O$5,DV85,$O$6,$R$2)</f>
        <v>N/A</v>
      </c>
      <c r="FF102" s="1" t="str" cm="1">
        <f t="array" ref="FF102:FK102">DetermineKill(ConvertToRoundTime(secandmin(CB21),secandmin(CJ39),CC21),CA21,CE21,CF21,CD21,CH21,CG21,$O$7)</f>
        <v>NOLOC</v>
      </c>
      <c r="FG102" s="1" t="b">
        <v>0</v>
      </c>
      <c r="FH102" s="1" t="b">
        <v>0</v>
      </c>
      <c r="FI102" s="1" t="b">
        <v>0</v>
      </c>
      <c r="FJ102" s="1" t="b">
        <v>0</v>
      </c>
      <c r="FK102" s="1" t="b">
        <v>0</v>
      </c>
      <c r="FL102" s="1" t="str" cm="1">
        <f t="array" ref="FL102">DeathTraded(FI102,$O$7,DV21,$O$2,DV37,$O$3,DV53,$O$4,DV69,$O$5,DV85,$O$6,$R$2)</f>
        <v>N/A</v>
      </c>
      <c r="FM102" s="1" t="str" cm="1">
        <f t="array" ref="FM102:FR102">DetermineKill(ConvertToRoundTime(secandmin(CK21),secandmin(CJ39),CL21),CJ21,CN21,CO21,CM21,CQ21,CP21,$O$7)</f>
        <v>NOLOC</v>
      </c>
      <c r="FN102" s="1" t="b">
        <v>0</v>
      </c>
      <c r="FO102" s="1" t="b">
        <v>0</v>
      </c>
      <c r="FP102" s="1" t="b">
        <v>0</v>
      </c>
      <c r="FQ102" s="1" t="b">
        <v>0</v>
      </c>
      <c r="FR102" s="1" t="b">
        <v>0</v>
      </c>
      <c r="FS102" s="1" t="str" cm="1">
        <f t="array" ref="FS102">DeathTraded(FP102,$O$7,DV21,$O$2,DV37,$O$3,DV53,$O$4,DV69,$O$5,DV85,$O$6,$R$2)</f>
        <v>N/A</v>
      </c>
      <c r="FT102" s="1" t="str" cm="1">
        <f t="array" ref="FT102:FY102">DetermineKill(ConvertToRoundTime(secandmin(CT21),secandmin(CJ39),CU21),CS21,CW21,CX21,CV21,CZ21,CY21,$O$7)</f>
        <v>NOLOC</v>
      </c>
      <c r="FU102" s="1" t="b">
        <v>0</v>
      </c>
      <c r="FV102" s="1" t="b">
        <v>0</v>
      </c>
      <c r="FW102" s="1" t="b">
        <v>0</v>
      </c>
      <c r="FX102" s="1" t="b">
        <v>0</v>
      </c>
      <c r="FY102" s="1" t="b">
        <v>0</v>
      </c>
      <c r="FZ102" s="1" t="str" cm="1">
        <f t="array" ref="FZ102">DeathTraded(FW102,$O$7,DV21,$O$2,DV37,$O$3,DV53,$O$4,DV69,$O$5,DV85,$O$6,$R$2)</f>
        <v>N/A</v>
      </c>
      <c r="GA102" s="1" t="str" cm="1">
        <f t="array" ref="GA102:GF102">DetermineKill(ConvertToRoundTime(secandmin(DC21),secandmin(CJ39),DD21),DB21,DF21,DG21,DE21,DI21,DH21,$O$7)</f>
        <v>NOLOC</v>
      </c>
      <c r="GB102" s="1" t="b">
        <v>0</v>
      </c>
      <c r="GC102" s="1" t="b">
        <v>0</v>
      </c>
      <c r="GD102" s="1" t="b">
        <v>0</v>
      </c>
      <c r="GE102" s="1" t="b">
        <v>0</v>
      </c>
      <c r="GF102" s="1" t="b">
        <v>0</v>
      </c>
      <c r="GG102" s="1" t="str" cm="1">
        <f t="array" ref="GG102">DeathTraded(GD102,$O$7,DV21,$O$2,DV37,$O$3,DV53,$O$4,DV69,$O$5,DV85,$O$6,$R$2)</f>
        <v>N/A</v>
      </c>
    </row>
    <row r="103" spans="1:189" x14ac:dyDescent="0.25">
      <c r="D103" t="str">
        <f ca="1"/>
        <v>Oryx</v>
      </c>
      <c r="E103" t="str">
        <f ca="1"/>
        <v>Kali</v>
      </c>
      <c r="G103" s="42"/>
      <c r="I103" s="42"/>
    </row>
    <row r="104" spans="1:189" x14ac:dyDescent="0.25">
      <c r="D104" t="str">
        <f ca="1"/>
        <v>Wamai</v>
      </c>
      <c r="E104" t="str">
        <f ca="1"/>
        <v>Amaru</v>
      </c>
      <c r="G104" s="42"/>
      <c r="I104" s="42"/>
    </row>
    <row r="105" spans="1:189" x14ac:dyDescent="0.25">
      <c r="D105" t="str">
        <f ca="1"/>
        <v>Goyo</v>
      </c>
      <c r="E105" t="str">
        <f ca="1"/>
        <v>Nokk</v>
      </c>
      <c r="G105" s="42"/>
      <c r="I105" s="42"/>
      <c r="DY105" t="s">
        <v>353</v>
      </c>
    </row>
    <row r="106" spans="1:189" x14ac:dyDescent="0.25">
      <c r="D106" t="str">
        <f ca="1"/>
        <v>Warden</v>
      </c>
      <c r="E106" t="str">
        <f ca="1"/>
        <v>Gridlock</v>
      </c>
      <c r="G106" s="42"/>
      <c r="I106" s="42"/>
    </row>
    <row r="107" spans="1:189" x14ac:dyDescent="0.25">
      <c r="D107" t="str">
        <f ca="1"/>
        <v>Mozzie</v>
      </c>
      <c r="E107" t="str">
        <f ca="1"/>
        <v>Nomad</v>
      </c>
      <c r="G107" s="42"/>
      <c r="I107" s="42"/>
    </row>
    <row r="108" spans="1:189" x14ac:dyDescent="0.25">
      <c r="D108" t="str">
        <f ca="1"/>
        <v>Kaid</v>
      </c>
      <c r="E108" t="str">
        <f ca="1"/>
        <v>Maverick</v>
      </c>
      <c r="G108" s="42"/>
      <c r="I108" s="42"/>
    </row>
    <row r="109" spans="1:189" x14ac:dyDescent="0.25">
      <c r="D109" t="str">
        <f ca="1"/>
        <v>Clash</v>
      </c>
      <c r="E109" t="str">
        <f ca="1"/>
        <v>Lion</v>
      </c>
      <c r="G109" s="42"/>
      <c r="I109" s="42"/>
    </row>
    <row r="110" spans="1:189" x14ac:dyDescent="0.25">
      <c r="D110" t="str">
        <f ca="1"/>
        <v>Maestro</v>
      </c>
      <c r="E110" t="str">
        <f ca="1"/>
        <v>Finka</v>
      </c>
      <c r="G110" s="42"/>
      <c r="I110" s="42"/>
    </row>
    <row r="111" spans="1:189" x14ac:dyDescent="0.25">
      <c r="D111" t="str">
        <f ca="1"/>
        <v>Alibi</v>
      </c>
      <c r="E111" t="str">
        <f ca="1"/>
        <v>Dokkaebi</v>
      </c>
      <c r="G111" s="42"/>
      <c r="I111" s="42"/>
    </row>
    <row r="112" spans="1:189" x14ac:dyDescent="0.25">
      <c r="D112" t="str">
        <f ca="1"/>
        <v>Vigil</v>
      </c>
      <c r="E112" t="str">
        <f ca="1"/>
        <v>Zofia</v>
      </c>
      <c r="G112" s="42"/>
      <c r="I112" s="42"/>
    </row>
    <row r="113" spans="4:9" x14ac:dyDescent="0.25">
      <c r="D113" t="str">
        <f ca="1"/>
        <v>Ela</v>
      </c>
      <c r="E113" t="str">
        <f ca="1"/>
        <v>Ying</v>
      </c>
      <c r="G113" s="42"/>
      <c r="I113" s="42"/>
    </row>
    <row r="114" spans="4:9" x14ac:dyDescent="0.25">
      <c r="D114" t="str">
        <f ca="1"/>
        <v>Lesion</v>
      </c>
      <c r="E114" t="str">
        <f ca="1"/>
        <v>Jackel</v>
      </c>
      <c r="G114" s="42"/>
      <c r="I114" s="42"/>
    </row>
    <row r="115" spans="4:9" x14ac:dyDescent="0.25">
      <c r="D115" t="str">
        <f ca="1"/>
        <v>Mira</v>
      </c>
      <c r="E115" t="str">
        <f ca="1"/>
        <v>Hibanna</v>
      </c>
      <c r="G115" s="42"/>
      <c r="I115" s="42"/>
    </row>
    <row r="116" spans="4:9" x14ac:dyDescent="0.25">
      <c r="D116" t="str">
        <f ca="1"/>
        <v>Echo</v>
      </c>
      <c r="E116" t="str">
        <f ca="1"/>
        <v>Capitao</v>
      </c>
      <c r="G116" s="42"/>
      <c r="I116" s="42"/>
    </row>
    <row r="117" spans="4:9" x14ac:dyDescent="0.25">
      <c r="D117" t="str">
        <f ca="1"/>
        <v>Caviera</v>
      </c>
      <c r="E117" t="str">
        <f ca="1"/>
        <v>Blackbeard</v>
      </c>
      <c r="G117" s="42"/>
      <c r="I117" s="42"/>
    </row>
    <row r="118" spans="4:9" x14ac:dyDescent="0.25">
      <c r="D118" t="str">
        <f ca="1"/>
        <v>Valkyrie</v>
      </c>
      <c r="E118" t="str">
        <f ca="1"/>
        <v>Buck</v>
      </c>
      <c r="G118" s="42"/>
      <c r="I118" s="42"/>
    </row>
    <row r="119" spans="4:9" x14ac:dyDescent="0.25">
      <c r="D119" t="str">
        <f ca="1"/>
        <v>Frost</v>
      </c>
      <c r="E119" t="str">
        <f ca="1"/>
        <v>Sledge</v>
      </c>
      <c r="G119" s="42"/>
      <c r="I119" s="42"/>
    </row>
    <row r="120" spans="4:9" x14ac:dyDescent="0.25">
      <c r="D120" t="str">
        <f ca="1"/>
        <v>Mute</v>
      </c>
      <c r="E120" t="str">
        <f ca="1"/>
        <v>Thatcher</v>
      </c>
      <c r="G120" s="42"/>
      <c r="I120" s="42"/>
    </row>
    <row r="121" spans="4:9" x14ac:dyDescent="0.25">
      <c r="D121" t="str">
        <f ca="1"/>
        <v>Smoke</v>
      </c>
      <c r="E121" t="str">
        <f ca="1"/>
        <v>Ash</v>
      </c>
      <c r="G121" s="42"/>
      <c r="I121" s="42"/>
    </row>
    <row r="122" spans="4:9" x14ac:dyDescent="0.25">
      <c r="D122" t="str">
        <f ca="1"/>
        <v>Castle</v>
      </c>
      <c r="E122" t="str">
        <f ca="1"/>
        <v>Thermite</v>
      </c>
      <c r="G122" s="42"/>
      <c r="I122" s="42"/>
    </row>
    <row r="123" spans="4:9" x14ac:dyDescent="0.25">
      <c r="D123" t="str">
        <f ca="1"/>
        <v>Pulse</v>
      </c>
      <c r="E123" t="str">
        <f ca="1"/>
        <v>Montange</v>
      </c>
      <c r="G123" s="42"/>
      <c r="I123" s="42"/>
    </row>
    <row r="124" spans="4:9" x14ac:dyDescent="0.25">
      <c r="D124" t="str">
        <f ca="1"/>
        <v>Doc</v>
      </c>
      <c r="E124" t="str">
        <f ca="1"/>
        <v>Twitch</v>
      </c>
      <c r="G124" s="42"/>
      <c r="I124" s="42"/>
    </row>
    <row r="125" spans="4:9" x14ac:dyDescent="0.25">
      <c r="D125" t="str">
        <f ca="1"/>
        <v>Rook</v>
      </c>
      <c r="E125" t="str">
        <f ca="1"/>
        <v>Blitz</v>
      </c>
      <c r="G125" s="42"/>
      <c r="I125" s="42"/>
    </row>
    <row r="126" spans="4:9" x14ac:dyDescent="0.25">
      <c r="D126" t="str">
        <f ca="1"/>
        <v>Jager</v>
      </c>
      <c r="E126" t="str">
        <f ca="1"/>
        <v>Iq</v>
      </c>
      <c r="G126" s="42"/>
      <c r="I126" s="42"/>
    </row>
    <row r="127" spans="4:9" x14ac:dyDescent="0.25">
      <c r="D127" t="str">
        <f ca="1"/>
        <v>Bandit</v>
      </c>
      <c r="E127" t="str">
        <f ca="1"/>
        <v>Fuze</v>
      </c>
      <c r="G127" s="42"/>
      <c r="I127" s="42"/>
    </row>
    <row r="128" spans="4:9" x14ac:dyDescent="0.25">
      <c r="D128" t="str">
        <f ca="1"/>
        <v>Tachanka</v>
      </c>
      <c r="E128" t="str">
        <f ca="1"/>
        <v>Glaz</v>
      </c>
      <c r="G128" s="42"/>
      <c r="I128" s="42"/>
    </row>
    <row r="129" spans="4:9" x14ac:dyDescent="0.25">
      <c r="D129" t="str">
        <f ca="1"/>
        <v>Kapkan</v>
      </c>
      <c r="E129" t="str">
        <f ca="1"/>
        <v>Sens</v>
      </c>
      <c r="G129" s="42"/>
      <c r="I129" s="42"/>
    </row>
    <row r="130" spans="4:9" x14ac:dyDescent="0.25">
      <c r="D130" t="str">
        <f ca="1"/>
        <v>Thorn</v>
      </c>
      <c r="E130" t="str">
        <f ca="1"/>
        <v>Grim</v>
      </c>
      <c r="G130" s="42"/>
      <c r="I130" s="42"/>
    </row>
    <row r="131" spans="4:9" x14ac:dyDescent="0.25">
      <c r="G131" s="42"/>
      <c r="I131" s="42"/>
    </row>
    <row r="132" spans="4:9" x14ac:dyDescent="0.25">
      <c r="G132" s="42"/>
      <c r="I132" s="42"/>
    </row>
    <row r="133" spans="4:9" x14ac:dyDescent="0.25">
      <c r="G133" s="42"/>
      <c r="I133" s="42"/>
    </row>
    <row r="134" spans="4:9" x14ac:dyDescent="0.25">
      <c r="G134" s="42"/>
      <c r="I134" s="42"/>
    </row>
    <row r="135" spans="4:9" x14ac:dyDescent="0.25">
      <c r="G135" s="42"/>
      <c r="I135" s="42"/>
    </row>
    <row r="136" spans="4:9" x14ac:dyDescent="0.25">
      <c r="G136" s="42"/>
      <c r="I136" s="42"/>
    </row>
    <row r="137" spans="4:9" x14ac:dyDescent="0.25">
      <c r="G137" s="42"/>
      <c r="I137" s="42"/>
    </row>
    <row r="138" spans="4:9" x14ac:dyDescent="0.25">
      <c r="G138" s="42"/>
      <c r="I138" s="42"/>
    </row>
    <row r="139" spans="4:9" x14ac:dyDescent="0.25">
      <c r="G139" s="42"/>
    </row>
    <row r="140" spans="4:9" x14ac:dyDescent="0.25">
      <c r="G140" s="42"/>
    </row>
    <row r="141" spans="4:9" x14ac:dyDescent="0.25">
      <c r="G141" s="42"/>
    </row>
    <row r="142" spans="4:9" x14ac:dyDescent="0.25">
      <c r="G142" s="42"/>
    </row>
    <row r="143" spans="4:9" x14ac:dyDescent="0.25">
      <c r="G143" s="42"/>
    </row>
    <row r="144" spans="4:9" x14ac:dyDescent="0.25">
      <c r="G144" s="42"/>
    </row>
    <row r="145" spans="2:7" x14ac:dyDescent="0.25">
      <c r="G145" s="42"/>
    </row>
    <row r="146" spans="2:7" x14ac:dyDescent="0.25">
      <c r="G146" s="42"/>
    </row>
    <row r="147" spans="2:7" x14ac:dyDescent="0.25">
      <c r="G147" s="42"/>
    </row>
    <row r="148" spans="2:7" x14ac:dyDescent="0.25">
      <c r="G148" s="42"/>
    </row>
    <row r="149" spans="2:7" x14ac:dyDescent="0.25">
      <c r="G149" s="42"/>
    </row>
    <row r="150" spans="2:7" x14ac:dyDescent="0.25">
      <c r="G150" s="42"/>
    </row>
    <row r="151" spans="2:7" x14ac:dyDescent="0.25">
      <c r="G151" s="42"/>
    </row>
    <row r="152" spans="2:7" x14ac:dyDescent="0.25">
      <c r="B152" s="57" t="s">
        <v>239</v>
      </c>
      <c r="C152" s="57"/>
      <c r="D152" s="57"/>
      <c r="E152" s="57"/>
      <c r="F152" t="s">
        <v>240</v>
      </c>
      <c r="G152" s="42"/>
    </row>
    <row r="153" spans="2:7" x14ac:dyDescent="0.25">
      <c r="B153" s="57"/>
      <c r="C153" s="57"/>
      <c r="D153" s="57"/>
      <c r="E153" s="57"/>
      <c r="F153" t="s">
        <v>282</v>
      </c>
      <c r="G153" s="42"/>
    </row>
    <row r="154" spans="2:7" x14ac:dyDescent="0.25">
      <c r="C154" t="s">
        <v>0</v>
      </c>
      <c r="G154" s="42"/>
    </row>
    <row r="155" spans="2:7" x14ac:dyDescent="0.25">
      <c r="B155" t="s">
        <v>241</v>
      </c>
      <c r="C155" t="s">
        <v>242</v>
      </c>
      <c r="D155" t="s">
        <v>243</v>
      </c>
      <c r="E155" t="s">
        <v>244</v>
      </c>
      <c r="G155" s="42"/>
    </row>
    <row r="156" spans="2:7" x14ac:dyDescent="0.25">
      <c r="G156" s="42"/>
    </row>
    <row r="157" spans="2:7" x14ac:dyDescent="0.25">
      <c r="G157" s="42"/>
    </row>
    <row r="158" spans="2:7" x14ac:dyDescent="0.25">
      <c r="G158" s="42"/>
    </row>
    <row r="159" spans="2:7" x14ac:dyDescent="0.25">
      <c r="G159" s="42"/>
    </row>
    <row r="160" spans="2:7" x14ac:dyDescent="0.25">
      <c r="G160" s="42"/>
    </row>
    <row r="161" spans="7:7" x14ac:dyDescent="0.25">
      <c r="G161" s="42"/>
    </row>
    <row r="162" spans="7:7" x14ac:dyDescent="0.25">
      <c r="G162" s="42"/>
    </row>
    <row r="163" spans="7:7" x14ac:dyDescent="0.25">
      <c r="G163" s="42"/>
    </row>
    <row r="164" spans="7:7" x14ac:dyDescent="0.25">
      <c r="G164" s="42"/>
    </row>
    <row r="165" spans="7:7" x14ac:dyDescent="0.25">
      <c r="G165" s="42"/>
    </row>
    <row r="166" spans="7:7" x14ac:dyDescent="0.25">
      <c r="G166" s="42"/>
    </row>
    <row r="167" spans="7:7" x14ac:dyDescent="0.25">
      <c r="G167" s="42"/>
    </row>
    <row r="168" spans="7:7" x14ac:dyDescent="0.25">
      <c r="G168" s="42"/>
    </row>
    <row r="169" spans="7:7" x14ac:dyDescent="0.25">
      <c r="G169" s="42"/>
    </row>
    <row r="170" spans="7:7" x14ac:dyDescent="0.25">
      <c r="G170" s="42"/>
    </row>
    <row r="171" spans="7:7" x14ac:dyDescent="0.25">
      <c r="G171" s="42"/>
    </row>
    <row r="172" spans="7:7" x14ac:dyDescent="0.25">
      <c r="G172" s="42"/>
    </row>
    <row r="173" spans="7:7" x14ac:dyDescent="0.25">
      <c r="G173" s="42"/>
    </row>
    <row r="174" spans="7:7" x14ac:dyDescent="0.25">
      <c r="G174" s="42"/>
    </row>
    <row r="175" spans="7:7" x14ac:dyDescent="0.25">
      <c r="G175" s="42"/>
    </row>
    <row r="176" spans="7:7" x14ac:dyDescent="0.25">
      <c r="G176" s="42"/>
    </row>
    <row r="177" spans="7:7" x14ac:dyDescent="0.25">
      <c r="G177" s="42"/>
    </row>
    <row r="178" spans="7:7" x14ac:dyDescent="0.25">
      <c r="G178" s="42"/>
    </row>
    <row r="179" spans="7:7" x14ac:dyDescent="0.25">
      <c r="G179" s="42"/>
    </row>
    <row r="180" spans="7:7" x14ac:dyDescent="0.25">
      <c r="G180" s="42"/>
    </row>
    <row r="181" spans="7:7" x14ac:dyDescent="0.25">
      <c r="G181" s="42"/>
    </row>
    <row r="182" spans="7:7" x14ac:dyDescent="0.25">
      <c r="G182" s="42"/>
    </row>
    <row r="183" spans="7:7" x14ac:dyDescent="0.25">
      <c r="G183" s="42"/>
    </row>
    <row r="184" spans="7:7" x14ac:dyDescent="0.25">
      <c r="G184" s="42"/>
    </row>
    <row r="185" spans="7:7" x14ac:dyDescent="0.25">
      <c r="G185" s="42"/>
    </row>
    <row r="186" spans="7:7" x14ac:dyDescent="0.25">
      <c r="G186" s="42"/>
    </row>
    <row r="187" spans="7:7" x14ac:dyDescent="0.25">
      <c r="G187" s="42"/>
    </row>
    <row r="188" spans="7:7" x14ac:dyDescent="0.25">
      <c r="G188" s="42"/>
    </row>
    <row r="189" spans="7:7" x14ac:dyDescent="0.25">
      <c r="G189" s="42"/>
    </row>
    <row r="190" spans="7:7" x14ac:dyDescent="0.25">
      <c r="G190" s="42"/>
    </row>
    <row r="191" spans="7:7" x14ac:dyDescent="0.25">
      <c r="G191" s="42"/>
    </row>
    <row r="192" spans="7:7" x14ac:dyDescent="0.25">
      <c r="G192" s="42"/>
    </row>
    <row r="193" spans="7:7" x14ac:dyDescent="0.25">
      <c r="G193" s="42"/>
    </row>
    <row r="194" spans="7:7" x14ac:dyDescent="0.25">
      <c r="G194" s="42"/>
    </row>
    <row r="195" spans="7:7" x14ac:dyDescent="0.25">
      <c r="G195" s="42"/>
    </row>
    <row r="196" spans="7:7" x14ac:dyDescent="0.25">
      <c r="G196" s="42"/>
    </row>
    <row r="197" spans="7:7" x14ac:dyDescent="0.25">
      <c r="G197" s="42"/>
    </row>
    <row r="198" spans="7:7" x14ac:dyDescent="0.25">
      <c r="G198" s="42"/>
    </row>
    <row r="268" spans="2:5" x14ac:dyDescent="0.25">
      <c r="C268" t="s">
        <v>13</v>
      </c>
    </row>
    <row r="269" spans="2:5" x14ac:dyDescent="0.25">
      <c r="B269" t="s">
        <v>241</v>
      </c>
      <c r="C269" t="s">
        <v>242</v>
      </c>
      <c r="D269" t="s">
        <v>243</v>
      </c>
      <c r="E269" t="s">
        <v>244</v>
      </c>
    </row>
    <row r="382" spans="2:5" x14ac:dyDescent="0.25">
      <c r="C382" t="s">
        <v>14</v>
      </c>
    </row>
    <row r="383" spans="2:5" x14ac:dyDescent="0.25">
      <c r="B383" t="s">
        <v>241</v>
      </c>
      <c r="C383" t="s">
        <v>242</v>
      </c>
      <c r="D383" t="s">
        <v>243</v>
      </c>
      <c r="E383" t="s">
        <v>244</v>
      </c>
    </row>
    <row r="496" spans="3:3" x14ac:dyDescent="0.25">
      <c r="C496" t="s">
        <v>15</v>
      </c>
    </row>
    <row r="497" spans="2:5" x14ac:dyDescent="0.25">
      <c r="B497" t="s">
        <v>241</v>
      </c>
      <c r="C497" t="s">
        <v>242</v>
      </c>
      <c r="D497" t="s">
        <v>243</v>
      </c>
      <c r="E497" t="s">
        <v>244</v>
      </c>
    </row>
    <row r="610" spans="2:5" x14ac:dyDescent="0.25">
      <c r="C610" t="s">
        <v>16</v>
      </c>
    </row>
    <row r="611" spans="2:5" x14ac:dyDescent="0.25">
      <c r="B611" t="s">
        <v>241</v>
      </c>
      <c r="C611" t="s">
        <v>242</v>
      </c>
      <c r="D611" t="s">
        <v>243</v>
      </c>
      <c r="E611" t="s">
        <v>244</v>
      </c>
    </row>
  </sheetData>
  <mergeCells count="5">
    <mergeCell ref="AB2:AD3"/>
    <mergeCell ref="DQ2:DT3"/>
    <mergeCell ref="A95:D96"/>
    <mergeCell ref="B152:E153"/>
    <mergeCell ref="A4:D5"/>
  </mergeCells>
  <phoneticPr fontId="9" type="noConversion"/>
  <conditionalFormatting sqref="BC7:BC21">
    <cfRule type="expression" dxfId="5" priority="6">
      <formula>AND(NOT(ISBLANK(BA7)), ISBLANK(BC7))</formula>
    </cfRule>
  </conditionalFormatting>
  <conditionalFormatting sqref="BK7:BK21">
    <cfRule type="expression" dxfId="4" priority="5">
      <formula>AND(NOT(ISBLANK(BI7)), ISBLANK(BK7))</formula>
    </cfRule>
  </conditionalFormatting>
  <conditionalFormatting sqref="AU7:AU21">
    <cfRule type="expression" dxfId="3" priority="4">
      <formula>AND(NOT(ISBLANK(AS7)), ISBLANK(AU7))</formula>
    </cfRule>
  </conditionalFormatting>
  <conditionalFormatting sqref="AM7:AM21">
    <cfRule type="expression" dxfId="2" priority="3">
      <formula>AND(NOT(ISBLANK(AK7)), ISBLANK(AM7))</formula>
    </cfRule>
  </conditionalFormatting>
  <conditionalFormatting sqref="AE7:AE21">
    <cfRule type="expression" dxfId="1" priority="2">
      <formula>AND(NOT(ISBLANK(AC7)), ISBLANK(AE7))</formula>
    </cfRule>
  </conditionalFormatting>
  <conditionalFormatting sqref="A2">
    <cfRule type="expression" dxfId="0" priority="1">
      <formula>ISBLANK(A2)</formula>
    </cfRule>
  </conditionalFormatting>
  <dataValidations count="7">
    <dataValidation type="list" allowBlank="1" showInputMessage="1" showErrorMessage="1" sqref="CI25:CI39" xr:uid="{F564C7AB-B785-45AE-AD4D-70FB7E3320BD}">
      <formula1>$B$98:$B$102</formula1>
    </dataValidation>
    <dataValidation type="list" allowBlank="1" showInputMessage="1" showErrorMessage="1" sqref="CL25:CL39" xr:uid="{503718CF-319E-4257-9ED8-BA7BF5CD9F9F}">
      <formula1>$I$98:$I$138</formula1>
    </dataValidation>
    <dataValidation type="list" allowBlank="1" showInputMessage="1" showErrorMessage="1" sqref="CL7:CL21 CC7:CC21 BT7:BT21 CF25:CF39 BJ7:BJ21 BB7:BB21 AT7:AT21 AL7:AL21 AD7:AD21 CU7:CU21 DD7:DD21 BD25:BD39 BF25:BF39 BJ25:BJ39 BL25:BL39 BP25:BP39 BR25:BR39 BV25:BV39 BX25:BX39 CB25:CB39 CD25:CD39 DF7:DF21 CW7:CW21 CN7:CN21 CE7:CE21 BV7:BV21 DH7:DI21 CY7:CZ21 CG7:CH21 BX7:BY21 AG7:AH21 AO7:AP21 AW7:AX21 BE7:BF21 BM7:BN21 CP7:CQ21 AD25:AH39 T2:W2" xr:uid="{1DD8742E-2A4F-4B76-BB6B-5BBCCD6C0BA3}">
      <formula1>"TRUE,FALSE"</formula1>
    </dataValidation>
    <dataValidation type="list" allowBlank="1" showInputMessage="1" showErrorMessage="1" sqref="CH25:CH39" xr:uid="{75FEAC55-BB3F-470D-9D83-FB94B47F3907}">
      <formula1>"Attack,Defence"</formula1>
    </dataValidation>
    <dataValidation type="list" allowBlank="1" showInputMessage="1" showErrorMessage="1" sqref="AM7:AM21 AE7:AE21 AU7:AU21 DG7:DG21 BK7:BK21 BW7:BW21 CF7:CF21 CO7:CO21 CX7:CX21 BC7:BC21" xr:uid="{73634B4A-0522-4864-B799-7E47C7F0A361}">
      <formula1>$L$2:$L$7</formula1>
    </dataValidation>
    <dataValidation type="list" allowBlank="1" showInputMessage="1" showErrorMessage="1" sqref="CM25:CM39" xr:uid="{E758B1FF-682E-47FD-B1AC-ED8C13363CEC}">
      <formula1>"Won,Lost"</formula1>
    </dataValidation>
    <dataValidation type="list" allowBlank="1" showInputMessage="1" showErrorMessage="1" sqref="AW25:BA39 BR7:BR21 CA7:CA21 CJ7:CJ21 CS7:CS21 DB7:DB21" xr:uid="{ABC71408-2D15-4CB6-B269-231FA65BAFBC}">
      <formula1>$O$2:$O$7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A603E3-E6D2-43AE-8E2D-8DF7DE5B81A7}">
  <sheetPr codeName="Sheet1"/>
  <dimension ref="A1:S21"/>
  <sheetViews>
    <sheetView workbookViewId="0">
      <selection activeCell="B24" sqref="B24"/>
    </sheetView>
  </sheetViews>
  <sheetFormatPr defaultRowHeight="15" x14ac:dyDescent="0.25"/>
  <cols>
    <col min="1" max="1" width="14.7109375" customWidth="1"/>
    <col min="2" max="2" width="15" customWidth="1"/>
    <col min="4" max="4" width="14.85546875" customWidth="1"/>
    <col min="6" max="6" width="14.7109375" customWidth="1"/>
    <col min="8" max="8" width="19.140625" customWidth="1"/>
    <col min="10" max="10" width="17.28515625" customWidth="1"/>
    <col min="16" max="16" width="9.7109375" customWidth="1"/>
  </cols>
  <sheetData>
    <row r="1" spans="1:19" x14ac:dyDescent="0.25">
      <c r="A1" t="s">
        <v>300</v>
      </c>
    </row>
    <row r="2" spans="1:19" x14ac:dyDescent="0.25">
      <c r="H2" s="47" t="s">
        <v>299</v>
      </c>
      <c r="J2" s="47" t="s">
        <v>306</v>
      </c>
    </row>
    <row r="4" spans="1:19" x14ac:dyDescent="0.25">
      <c r="B4" s="47" t="s">
        <v>0</v>
      </c>
      <c r="D4" s="47" t="s">
        <v>13</v>
      </c>
      <c r="F4" s="47" t="s">
        <v>14</v>
      </c>
      <c r="H4" s="47" t="s">
        <v>15</v>
      </c>
      <c r="J4" s="47" t="s">
        <v>16</v>
      </c>
      <c r="M4" s="58" t="s">
        <v>301</v>
      </c>
      <c r="N4" s="58"/>
      <c r="O4" s="58"/>
      <c r="Q4" s="59" t="s">
        <v>303</v>
      </c>
      <c r="R4" s="59"/>
      <c r="S4" s="59"/>
    </row>
    <row r="5" spans="1:19" x14ac:dyDescent="0.25">
      <c r="B5" s="8" t="s">
        <v>297</v>
      </c>
      <c r="D5" s="8" t="s">
        <v>297</v>
      </c>
      <c r="F5" s="8" t="s">
        <v>297</v>
      </c>
      <c r="H5" s="8" t="s">
        <v>297</v>
      </c>
      <c r="J5" s="8" t="s">
        <v>297</v>
      </c>
      <c r="M5" s="58"/>
      <c r="N5" s="58"/>
      <c r="O5" s="58"/>
      <c r="Q5" s="59"/>
      <c r="R5" s="59"/>
      <c r="S5" s="59"/>
    </row>
    <row r="6" spans="1:19" x14ac:dyDescent="0.25">
      <c r="B6" s="48" t="s">
        <v>298</v>
      </c>
      <c r="D6" s="48" t="s">
        <v>298</v>
      </c>
      <c r="F6" s="48" t="s">
        <v>298</v>
      </c>
      <c r="H6" s="48" t="s">
        <v>298</v>
      </c>
      <c r="J6" s="48" t="s">
        <v>298</v>
      </c>
      <c r="Q6" t="s">
        <v>81</v>
      </c>
      <c r="R6" t="s">
        <v>304</v>
      </c>
      <c r="S6" t="s">
        <v>305</v>
      </c>
    </row>
    <row r="7" spans="1:19" ht="15" customHeight="1" x14ac:dyDescent="0.25">
      <c r="M7" s="58" t="s">
        <v>302</v>
      </c>
      <c r="N7" s="58"/>
      <c r="O7" s="58"/>
    </row>
    <row r="8" spans="1:19" x14ac:dyDescent="0.25">
      <c r="M8" s="58"/>
      <c r="N8" s="58"/>
      <c r="O8" s="58"/>
    </row>
    <row r="9" spans="1:19" x14ac:dyDescent="0.25">
      <c r="M9" s="58"/>
      <c r="N9" s="58"/>
      <c r="O9" s="58"/>
    </row>
    <row r="10" spans="1:19" x14ac:dyDescent="0.25">
      <c r="M10" s="58"/>
      <c r="N10" s="58"/>
      <c r="O10" s="58"/>
    </row>
    <row r="11" spans="1:19" x14ac:dyDescent="0.25">
      <c r="M11" s="58"/>
      <c r="N11" s="58"/>
      <c r="O11" s="58"/>
    </row>
    <row r="12" spans="1:19" x14ac:dyDescent="0.25">
      <c r="M12" s="58"/>
      <c r="N12" s="58"/>
      <c r="O12" s="58"/>
    </row>
    <row r="14" spans="1:19" x14ac:dyDescent="0.25">
      <c r="M14" s="58" t="s">
        <v>307</v>
      </c>
      <c r="N14" s="58"/>
      <c r="O14" s="58"/>
    </row>
    <row r="15" spans="1:19" x14ac:dyDescent="0.25">
      <c r="M15" s="58"/>
      <c r="N15" s="58"/>
      <c r="O15" s="58"/>
    </row>
    <row r="18" spans="13:15" x14ac:dyDescent="0.25">
      <c r="M18" s="58" t="s">
        <v>308</v>
      </c>
      <c r="N18" s="58"/>
      <c r="O18" s="58"/>
    </row>
    <row r="19" spans="13:15" x14ac:dyDescent="0.25">
      <c r="M19" s="58"/>
      <c r="N19" s="58"/>
      <c r="O19" s="58"/>
    </row>
    <row r="20" spans="13:15" x14ac:dyDescent="0.25">
      <c r="M20" s="58" t="s">
        <v>309</v>
      </c>
      <c r="N20" s="58"/>
      <c r="O20" s="58"/>
    </row>
    <row r="21" spans="13:15" x14ac:dyDescent="0.25">
      <c r="M21" s="58"/>
      <c r="N21" s="58"/>
      <c r="O21" s="58"/>
    </row>
  </sheetData>
  <mergeCells count="6">
    <mergeCell ref="M20:O21"/>
    <mergeCell ref="M4:O5"/>
    <mergeCell ref="M7:O12"/>
    <mergeCell ref="M14:O15"/>
    <mergeCell ref="Q4:S5"/>
    <mergeCell ref="M18:O1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4CAE76-FC7A-4B71-B36B-1340EA6399EF}">
  <sheetPr codeName="Sheet4"/>
  <dimension ref="A1:M45"/>
  <sheetViews>
    <sheetView workbookViewId="0">
      <selection activeCell="M3" sqref="M3"/>
    </sheetView>
  </sheetViews>
  <sheetFormatPr defaultRowHeight="15" x14ac:dyDescent="0.25"/>
  <sheetData>
    <row r="1" spans="1:13" x14ac:dyDescent="0.25">
      <c r="A1" s="26" t="s">
        <v>81</v>
      </c>
      <c r="E1" s="25" t="s">
        <v>146</v>
      </c>
      <c r="F1" s="24" t="s">
        <v>147</v>
      </c>
      <c r="H1" s="25" t="s">
        <v>166</v>
      </c>
      <c r="K1" s="26" t="s">
        <v>82</v>
      </c>
      <c r="L1" s="27" t="s">
        <v>40</v>
      </c>
      <c r="M1" s="27" t="s">
        <v>38</v>
      </c>
    </row>
    <row r="2" spans="1:13" x14ac:dyDescent="0.25">
      <c r="A2" s="32" t="str" cm="1">
        <f t="array" ref="A2:A7">'8_22 Skyscraper_1'!O2:O7</f>
        <v>Candle</v>
      </c>
      <c r="E2" s="31" t="s">
        <v>148</v>
      </c>
      <c r="F2" s="30" t="s">
        <v>149</v>
      </c>
      <c r="H2" s="29" t="s">
        <v>167</v>
      </c>
      <c r="L2" s="8" t="s">
        <v>218</v>
      </c>
      <c r="M2" s="8" t="s">
        <v>358</v>
      </c>
    </row>
    <row r="3" spans="1:13" x14ac:dyDescent="0.25">
      <c r="A3" s="32" t="str">
        <v>Chos3n</v>
      </c>
      <c r="E3" s="31" t="s">
        <v>150</v>
      </c>
      <c r="F3" s="30" t="s">
        <v>151</v>
      </c>
      <c r="H3" s="29" t="s">
        <v>168</v>
      </c>
      <c r="L3" s="28" t="s">
        <v>83</v>
      </c>
      <c r="M3" s="17" t="s">
        <v>84</v>
      </c>
    </row>
    <row r="4" spans="1:13" x14ac:dyDescent="0.25">
      <c r="A4" s="32" t="str">
        <v>Ozone</v>
      </c>
      <c r="E4" s="31" t="s">
        <v>152</v>
      </c>
      <c r="F4" s="30" t="s">
        <v>153</v>
      </c>
      <c r="H4" s="29" t="s">
        <v>169</v>
      </c>
      <c r="L4" s="28" t="s">
        <v>85</v>
      </c>
      <c r="M4" s="17" t="s">
        <v>86</v>
      </c>
    </row>
    <row r="5" spans="1:13" x14ac:dyDescent="0.25">
      <c r="A5" s="32" t="str">
        <v>Krypticz</v>
      </c>
      <c r="E5" s="31" t="s">
        <v>154</v>
      </c>
      <c r="F5" s="30" t="s">
        <v>155</v>
      </c>
      <c r="H5" s="29" t="s">
        <v>170</v>
      </c>
      <c r="L5" s="28" t="s">
        <v>87</v>
      </c>
      <c r="M5" s="17" t="s">
        <v>88</v>
      </c>
    </row>
    <row r="6" spans="1:13" x14ac:dyDescent="0.25">
      <c r="A6" s="32" t="str">
        <v>Aggro</v>
      </c>
      <c r="E6" s="31" t="s">
        <v>156</v>
      </c>
      <c r="F6" s="30" t="s">
        <v>157</v>
      </c>
      <c r="H6" s="25" t="s">
        <v>171</v>
      </c>
      <c r="L6" s="28" t="s">
        <v>89</v>
      </c>
      <c r="M6" s="17" t="s">
        <v>90</v>
      </c>
    </row>
    <row r="7" spans="1:13" x14ac:dyDescent="0.25">
      <c r="A7" s="32" t="str">
        <v>TEAMKILL</v>
      </c>
      <c r="E7" s="31" t="s">
        <v>158</v>
      </c>
      <c r="F7" s="30" t="s">
        <v>159</v>
      </c>
      <c r="H7" s="29" t="s">
        <v>172</v>
      </c>
      <c r="L7" s="28" t="s">
        <v>91</v>
      </c>
      <c r="M7" s="17" t="s">
        <v>92</v>
      </c>
    </row>
    <row r="8" spans="1:13" x14ac:dyDescent="0.25">
      <c r="E8" s="31" t="s">
        <v>160</v>
      </c>
      <c r="F8" s="30" t="s">
        <v>161</v>
      </c>
      <c r="H8" s="29" t="s">
        <v>173</v>
      </c>
      <c r="L8" s="28" t="s">
        <v>93</v>
      </c>
      <c r="M8" s="17" t="s">
        <v>94</v>
      </c>
    </row>
    <row r="9" spans="1:13" x14ac:dyDescent="0.25">
      <c r="A9" s="26" t="s">
        <v>354</v>
      </c>
      <c r="E9" s="31" t="s">
        <v>162</v>
      </c>
      <c r="F9" s="17" t="s">
        <v>163</v>
      </c>
      <c r="H9" s="29" t="s">
        <v>174</v>
      </c>
      <c r="L9" s="28" t="s">
        <v>95</v>
      </c>
      <c r="M9" s="17" t="s">
        <v>96</v>
      </c>
    </row>
    <row r="10" spans="1:13" x14ac:dyDescent="0.25">
      <c r="A10" s="32" t="str">
        <f ca="1">'8_22 Skyscraper_1'!A2</f>
        <v>8_22 Skyscraper_1</v>
      </c>
      <c r="E10" s="31" t="s">
        <v>164</v>
      </c>
      <c r="F10" s="30" t="s">
        <v>165</v>
      </c>
      <c r="H10" s="29" t="s">
        <v>175</v>
      </c>
      <c r="L10" s="28" t="s">
        <v>97</v>
      </c>
      <c r="M10" s="17" t="s">
        <v>98</v>
      </c>
    </row>
    <row r="11" spans="1:13" x14ac:dyDescent="0.25">
      <c r="H11" s="25" t="s">
        <v>176</v>
      </c>
      <c r="L11" s="28" t="s">
        <v>99</v>
      </c>
      <c r="M11" s="17" t="s">
        <v>100</v>
      </c>
    </row>
    <row r="12" spans="1:13" x14ac:dyDescent="0.25">
      <c r="H12" s="29" t="s">
        <v>177</v>
      </c>
      <c r="L12" s="28" t="s">
        <v>101</v>
      </c>
      <c r="M12" s="17" t="s">
        <v>102</v>
      </c>
    </row>
    <row r="13" spans="1:13" x14ac:dyDescent="0.25">
      <c r="H13" s="29" t="s">
        <v>178</v>
      </c>
      <c r="L13" s="28" t="s">
        <v>103</v>
      </c>
      <c r="M13" s="17" t="s">
        <v>104</v>
      </c>
    </row>
    <row r="14" spans="1:13" x14ac:dyDescent="0.25">
      <c r="H14" s="29" t="s">
        <v>179</v>
      </c>
      <c r="L14" s="28" t="s">
        <v>105</v>
      </c>
      <c r="M14" s="17" t="s">
        <v>106</v>
      </c>
    </row>
    <row r="15" spans="1:13" x14ac:dyDescent="0.25">
      <c r="H15" s="29" t="s">
        <v>180</v>
      </c>
      <c r="L15" s="28" t="s">
        <v>107</v>
      </c>
      <c r="M15" s="17" t="s">
        <v>108</v>
      </c>
    </row>
    <row r="16" spans="1:13" x14ac:dyDescent="0.25">
      <c r="H16" s="25" t="s">
        <v>181</v>
      </c>
      <c r="L16" s="28" t="s">
        <v>109</v>
      </c>
      <c r="M16" s="17" t="s">
        <v>110</v>
      </c>
    </row>
    <row r="17" spans="8:13" x14ac:dyDescent="0.25">
      <c r="H17" s="29" t="s">
        <v>182</v>
      </c>
      <c r="L17" s="28" t="s">
        <v>111</v>
      </c>
      <c r="M17" s="17" t="s">
        <v>112</v>
      </c>
    </row>
    <row r="18" spans="8:13" x14ac:dyDescent="0.25">
      <c r="H18" s="29" t="s">
        <v>183</v>
      </c>
      <c r="L18" s="28" t="s">
        <v>113</v>
      </c>
      <c r="M18" s="17" t="s">
        <v>114</v>
      </c>
    </row>
    <row r="19" spans="8:13" x14ac:dyDescent="0.25">
      <c r="H19" s="29" t="s">
        <v>184</v>
      </c>
      <c r="L19" s="28" t="s">
        <v>115</v>
      </c>
      <c r="M19" s="17" t="s">
        <v>116</v>
      </c>
    </row>
    <row r="20" spans="8:13" x14ac:dyDescent="0.25">
      <c r="H20" s="29" t="s">
        <v>185</v>
      </c>
      <c r="L20" s="28" t="s">
        <v>117</v>
      </c>
      <c r="M20" s="17" t="s">
        <v>118</v>
      </c>
    </row>
    <row r="21" spans="8:13" x14ac:dyDescent="0.25">
      <c r="H21" s="25" t="s">
        <v>186</v>
      </c>
      <c r="L21" s="28" t="s">
        <v>119</v>
      </c>
      <c r="M21" s="17" t="s">
        <v>120</v>
      </c>
    </row>
    <row r="22" spans="8:13" x14ac:dyDescent="0.25">
      <c r="H22" s="29" t="s">
        <v>187</v>
      </c>
      <c r="L22" s="28" t="s">
        <v>121</v>
      </c>
      <c r="M22" s="17" t="s">
        <v>122</v>
      </c>
    </row>
    <row r="23" spans="8:13" x14ac:dyDescent="0.25">
      <c r="H23" s="29" t="s">
        <v>188</v>
      </c>
      <c r="L23" s="28" t="s">
        <v>123</v>
      </c>
      <c r="M23" s="17" t="s">
        <v>124</v>
      </c>
    </row>
    <row r="24" spans="8:13" x14ac:dyDescent="0.25">
      <c r="H24" s="29" t="s">
        <v>189</v>
      </c>
      <c r="L24" s="28" t="s">
        <v>125</v>
      </c>
      <c r="M24" s="17" t="s">
        <v>126</v>
      </c>
    </row>
    <row r="25" spans="8:13" x14ac:dyDescent="0.25">
      <c r="H25" s="29" t="s">
        <v>190</v>
      </c>
      <c r="L25" s="28" t="s">
        <v>127</v>
      </c>
      <c r="M25" s="17" t="s">
        <v>128</v>
      </c>
    </row>
    <row r="26" spans="8:13" x14ac:dyDescent="0.25">
      <c r="H26" s="25" t="s">
        <v>191</v>
      </c>
      <c r="L26" s="28" t="s">
        <v>129</v>
      </c>
      <c r="M26" s="17" t="s">
        <v>130</v>
      </c>
    </row>
    <row r="27" spans="8:13" x14ac:dyDescent="0.25">
      <c r="H27" s="29" t="s">
        <v>192</v>
      </c>
      <c r="L27" s="28" t="s">
        <v>131</v>
      </c>
      <c r="M27" s="17" t="s">
        <v>132</v>
      </c>
    </row>
    <row r="28" spans="8:13" x14ac:dyDescent="0.25">
      <c r="H28" s="29" t="s">
        <v>174</v>
      </c>
      <c r="L28" s="28" t="s">
        <v>133</v>
      </c>
      <c r="M28" s="17" t="s">
        <v>134</v>
      </c>
    </row>
    <row r="29" spans="8:13" x14ac:dyDescent="0.25">
      <c r="H29" s="29" t="s">
        <v>193</v>
      </c>
      <c r="L29" s="28" t="s">
        <v>135</v>
      </c>
      <c r="M29" s="17" t="s">
        <v>136</v>
      </c>
    </row>
    <row r="30" spans="8:13" x14ac:dyDescent="0.25">
      <c r="H30" s="29" t="s">
        <v>194</v>
      </c>
      <c r="L30" s="28" t="s">
        <v>137</v>
      </c>
      <c r="M30" s="17" t="s">
        <v>138</v>
      </c>
    </row>
    <row r="31" spans="8:13" x14ac:dyDescent="0.25">
      <c r="H31" s="25" t="s">
        <v>195</v>
      </c>
      <c r="L31" s="28" t="s">
        <v>139</v>
      </c>
      <c r="M31" s="17" t="s">
        <v>140</v>
      </c>
    </row>
    <row r="32" spans="8:13" x14ac:dyDescent="0.25">
      <c r="H32" s="29" t="s">
        <v>196</v>
      </c>
      <c r="L32" s="28" t="s">
        <v>141</v>
      </c>
      <c r="M32" s="17" t="s">
        <v>142</v>
      </c>
    </row>
    <row r="33" spans="8:13" x14ac:dyDescent="0.25">
      <c r="H33" s="29" t="s">
        <v>197</v>
      </c>
      <c r="L33" s="28" t="s">
        <v>143</v>
      </c>
      <c r="M33" s="17" t="s">
        <v>144</v>
      </c>
    </row>
    <row r="34" spans="8:13" x14ac:dyDescent="0.25">
      <c r="H34" s="29" t="s">
        <v>198</v>
      </c>
      <c r="L34" s="28" t="s">
        <v>145</v>
      </c>
      <c r="M34" s="17" t="s">
        <v>356</v>
      </c>
    </row>
    <row r="35" spans="8:13" x14ac:dyDescent="0.25">
      <c r="H35" s="29" t="s">
        <v>199</v>
      </c>
      <c r="L35" s="28" t="s">
        <v>85</v>
      </c>
      <c r="M35" s="17" t="s">
        <v>357</v>
      </c>
    </row>
    <row r="36" spans="8:13" x14ac:dyDescent="0.25">
      <c r="H36" s="25" t="s">
        <v>200</v>
      </c>
    </row>
    <row r="37" spans="8:13" x14ac:dyDescent="0.25">
      <c r="H37" s="29" t="s">
        <v>201</v>
      </c>
    </row>
    <row r="38" spans="8:13" x14ac:dyDescent="0.25">
      <c r="H38" s="29" t="s">
        <v>202</v>
      </c>
    </row>
    <row r="39" spans="8:13" x14ac:dyDescent="0.25">
      <c r="H39" s="29" t="s">
        <v>203</v>
      </c>
    </row>
    <row r="40" spans="8:13" x14ac:dyDescent="0.25">
      <c r="H40" s="29" t="s">
        <v>204</v>
      </c>
    </row>
    <row r="41" spans="8:13" x14ac:dyDescent="0.25">
      <c r="H41" s="25" t="s">
        <v>205</v>
      </c>
    </row>
    <row r="42" spans="8:13" x14ac:dyDescent="0.25">
      <c r="H42" s="29" t="s">
        <v>206</v>
      </c>
    </row>
    <row r="43" spans="8:13" x14ac:dyDescent="0.25">
      <c r="H43" s="29" t="s">
        <v>207</v>
      </c>
    </row>
    <row r="44" spans="8:13" x14ac:dyDescent="0.25">
      <c r="H44" s="29" t="s">
        <v>208</v>
      </c>
    </row>
    <row r="45" spans="8:13" x14ac:dyDescent="0.25">
      <c r="H45" s="29" t="s">
        <v>209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5A4E2A-E055-4894-A99F-A0F606575845}">
  <sheetPr codeName="Sheet5"/>
  <dimension ref="A1:I5"/>
  <sheetViews>
    <sheetView workbookViewId="0">
      <selection activeCell="C3" sqref="C3"/>
    </sheetView>
  </sheetViews>
  <sheetFormatPr defaultRowHeight="15" x14ac:dyDescent="0.25"/>
  <sheetData>
    <row r="1" spans="1:9" x14ac:dyDescent="0.25">
      <c r="A1" t="s">
        <v>166</v>
      </c>
      <c r="B1" t="s">
        <v>171</v>
      </c>
      <c r="C1" t="s">
        <v>176</v>
      </c>
      <c r="D1" t="s">
        <v>181</v>
      </c>
      <c r="E1" t="s">
        <v>186</v>
      </c>
      <c r="F1" t="s">
        <v>191</v>
      </c>
      <c r="G1" t="s">
        <v>195</v>
      </c>
      <c r="H1" t="s">
        <v>200</v>
      </c>
      <c r="I1" t="s">
        <v>205</v>
      </c>
    </row>
    <row r="2" spans="1:9" x14ac:dyDescent="0.25">
      <c r="C2" t="s">
        <v>280</v>
      </c>
    </row>
    <row r="3" spans="1:9" x14ac:dyDescent="0.25">
      <c r="C3" t="s">
        <v>277</v>
      </c>
    </row>
    <row r="4" spans="1:9" x14ac:dyDescent="0.25">
      <c r="C4" t="s">
        <v>278</v>
      </c>
    </row>
    <row r="5" spans="1:9" x14ac:dyDescent="0.25">
      <c r="C5" t="s">
        <v>279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8A41-B6D4-437A-877D-0CBE545A2501}">
  <sheetPr codeName="Sheet2"/>
  <dimension ref="A1:W16"/>
  <sheetViews>
    <sheetView workbookViewId="0">
      <selection activeCell="E2" sqref="E2"/>
    </sheetView>
  </sheetViews>
  <sheetFormatPr defaultRowHeight="15" x14ac:dyDescent="0.25"/>
  <sheetData>
    <row r="1" spans="1:23" x14ac:dyDescent="0.25">
      <c r="A1" t="s">
        <v>326</v>
      </c>
      <c r="B1" t="s">
        <v>337</v>
      </c>
      <c r="C1" t="s">
        <v>2</v>
      </c>
      <c r="D1" t="s">
        <v>3</v>
      </c>
      <c r="E1" t="s">
        <v>1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328</v>
      </c>
      <c r="L1" t="s">
        <v>329</v>
      </c>
      <c r="M1" t="s">
        <v>330</v>
      </c>
      <c r="N1" t="s">
        <v>331</v>
      </c>
      <c r="O1" t="s">
        <v>332</v>
      </c>
      <c r="P1" t="s">
        <v>333</v>
      </c>
      <c r="Q1" t="s">
        <v>334</v>
      </c>
      <c r="R1" t="s">
        <v>335</v>
      </c>
      <c r="S1" t="s">
        <v>336</v>
      </c>
      <c r="T1" t="s">
        <v>348</v>
      </c>
      <c r="U1" t="s">
        <v>349</v>
      </c>
      <c r="V1" t="s">
        <v>351</v>
      </c>
      <c r="W1" t="s">
        <v>352</v>
      </c>
    </row>
    <row r="2" spans="1:23" x14ac:dyDescent="0.25">
      <c r="A2" t="str" cm="1">
        <f t="array" aca="1" ref="A2:E2" ca="1">'8_22 Skyscraper_1'!A2:E2</f>
        <v>8_22 Skyscraper_1</v>
      </c>
      <c r="B2" t="str">
        <f ca="1"/>
        <v>DAL</v>
      </c>
      <c r="C2" t="str">
        <f ca="1"/>
        <v>Skyscraper</v>
      </c>
      <c r="D2" t="str">
        <f ca="1"/>
        <v>Homeland</v>
      </c>
      <c r="E2" s="55">
        <f ca="1"/>
        <v>44795</v>
      </c>
      <c r="F2" t="str" cm="1">
        <f t="array" ref="F2:J2">TRANSPOSE('8_22 Skyscraper_1'!O2:O6)</f>
        <v>Candle</v>
      </c>
      <c r="G2" t="str">
        <v>Chos3n</v>
      </c>
      <c r="H2" t="str">
        <v>Ozone</v>
      </c>
      <c r="I2" t="str">
        <v>Krypticz</v>
      </c>
      <c r="J2" t="str">
        <v>Aggro</v>
      </c>
      <c r="K2" t="str" cm="1">
        <f t="array" ref="K2:O2">TRANSPOSE('8_22 Skyscraper_1'!L2:L6)</f>
        <v>Lakqi</v>
      </c>
      <c r="L2" t="str">
        <v>Saryz</v>
      </c>
      <c r="M2" t="str">
        <v>Hox</v>
      </c>
      <c r="N2" t="str">
        <v>Rye</v>
      </c>
      <c r="O2" t="str">
        <v>Hiperzz</v>
      </c>
      <c r="P2" t="str" cm="1">
        <f t="array" ref="P2:S2">'8_22 Skyscraper_1'!F2:I2</f>
        <v>Thatcher</v>
      </c>
      <c r="Q2" t="str">
        <v>Valkyrie</v>
      </c>
      <c r="R2" t="str">
        <v>Flores</v>
      </c>
      <c r="S2" t="str">
        <v>Mira</v>
      </c>
      <c r="T2" t="b" cm="1">
        <f t="array" ref="T2:W2">('8_22 Skyscraper_1'!T2:W2)</f>
        <v>0</v>
      </c>
      <c r="U2" t="b">
        <v>1</v>
      </c>
      <c r="V2" t="b">
        <v>1</v>
      </c>
      <c r="W2" t="b">
        <v>0</v>
      </c>
    </row>
    <row r="7" spans="1:23" x14ac:dyDescent="0.25">
      <c r="E7" s="55"/>
    </row>
    <row r="16" spans="1:23" x14ac:dyDescent="0.25">
      <c r="F16" s="55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50A82D-B9E7-4C51-876B-04FFD6465395}">
  <sheetPr codeName="Sheet6"/>
  <dimension ref="A1:Q12"/>
  <sheetViews>
    <sheetView workbookViewId="0">
      <selection activeCell="A3" sqref="A3"/>
    </sheetView>
  </sheetViews>
  <sheetFormatPr defaultRowHeight="15" x14ac:dyDescent="0.25"/>
  <sheetData>
    <row r="1" spans="1:17" x14ac:dyDescent="0.25">
      <c r="A1" t="s">
        <v>326</v>
      </c>
      <c r="B1" t="s">
        <v>46</v>
      </c>
      <c r="C1" t="s">
        <v>42</v>
      </c>
      <c r="D1" t="s">
        <v>58</v>
      </c>
      <c r="E1" t="s">
        <v>57</v>
      </c>
      <c r="F1" t="s">
        <v>261</v>
      </c>
      <c r="G1" t="s">
        <v>262</v>
      </c>
      <c r="H1" t="s">
        <v>263</v>
      </c>
      <c r="I1" t="s">
        <v>59</v>
      </c>
      <c r="J1" t="s">
        <v>45</v>
      </c>
      <c r="K1" t="s">
        <v>55</v>
      </c>
      <c r="L1" t="s">
        <v>286</v>
      </c>
      <c r="M1" t="s">
        <v>293</v>
      </c>
      <c r="N1" t="s">
        <v>287</v>
      </c>
      <c r="O1" t="s">
        <v>284</v>
      </c>
      <c r="P1" t="s">
        <v>56</v>
      </c>
      <c r="Q1" t="s">
        <v>321</v>
      </c>
    </row>
    <row r="2" spans="1:17" x14ac:dyDescent="0.25">
      <c r="A2" t="str" cm="1">
        <f t="array" aca="1" ref="A2:Q12" ca="1">PullMatch(REF!A11)</f>
        <v>8_22 Skyscraper_1</v>
      </c>
      <c r="B2">
        <f ca="1"/>
        <v>1</v>
      </c>
      <c r="C2">
        <f ca="1"/>
        <v>0</v>
      </c>
      <c r="D2" t="str">
        <f ca="1"/>
        <v/>
      </c>
      <c r="E2" t="str">
        <f ca="1"/>
        <v/>
      </c>
      <c r="F2" t="b">
        <f ca="1"/>
        <v>1</v>
      </c>
      <c r="G2" t="b">
        <f ca="1"/>
        <v>0</v>
      </c>
      <c r="H2">
        <f ca="1"/>
        <v>151</v>
      </c>
      <c r="I2" t="b">
        <f ca="1"/>
        <v>0</v>
      </c>
      <c r="J2" t="b">
        <f ca="1"/>
        <v>0</v>
      </c>
      <c r="K2" t="str">
        <f ca="1"/>
        <v>Attack</v>
      </c>
      <c r="L2">
        <f ca="1"/>
        <v>151</v>
      </c>
      <c r="M2" t="b">
        <f ca="1"/>
        <v>0</v>
      </c>
      <c r="N2" t="str">
        <f ca="1"/>
        <v>Unspecified</v>
      </c>
      <c r="O2" t="str">
        <f ca="1"/>
        <v>TeaKaraoke</v>
      </c>
      <c r="P2" t="str">
        <f ca="1"/>
        <v>Won</v>
      </c>
      <c r="Q2">
        <f ca="1"/>
        <v>0</v>
      </c>
    </row>
    <row r="3" spans="1:17" x14ac:dyDescent="0.25">
      <c r="A3" t="str">
        <f ca="1"/>
        <v>8_22 Skyscraper_1</v>
      </c>
      <c r="B3">
        <f ca="1"/>
        <v>2</v>
      </c>
      <c r="C3">
        <f ca="1"/>
        <v>1</v>
      </c>
      <c r="D3" t="str">
        <f ca="1"/>
        <v/>
      </c>
      <c r="E3" t="str">
        <f ca="1"/>
        <v/>
      </c>
      <c r="F3" t="b">
        <f ca="1"/>
        <v>1</v>
      </c>
      <c r="G3" t="b">
        <f ca="1"/>
        <v>1</v>
      </c>
      <c r="H3">
        <f ca="1"/>
        <v>179</v>
      </c>
      <c r="I3" t="b">
        <f ca="1"/>
        <v>0</v>
      </c>
      <c r="J3" t="b">
        <f ca="1"/>
        <v>0</v>
      </c>
      <c r="K3" t="str">
        <f ca="1"/>
        <v>Attack</v>
      </c>
      <c r="L3">
        <f ca="1"/>
        <v>179</v>
      </c>
      <c r="M3">
        <f ca="1"/>
        <v>170</v>
      </c>
      <c r="N3" t="str">
        <f ca="1"/>
        <v>Unspecified</v>
      </c>
      <c r="O3" t="str">
        <f ca="1"/>
        <v>TeaKaraoke</v>
      </c>
      <c r="P3" t="str">
        <f ca="1"/>
        <v>Won</v>
      </c>
      <c r="Q3">
        <f ca="1"/>
        <v>0</v>
      </c>
    </row>
    <row r="4" spans="1:17" x14ac:dyDescent="0.25">
      <c r="A4" t="str">
        <f ca="1"/>
        <v>8_22 Skyscraper_1</v>
      </c>
      <c r="B4">
        <f ca="1"/>
        <v>3</v>
      </c>
      <c r="C4">
        <f ca="1"/>
        <v>1</v>
      </c>
      <c r="D4" t="str">
        <f ca="1"/>
        <v/>
      </c>
      <c r="E4" t="str">
        <f ca="1"/>
        <v/>
      </c>
      <c r="F4" t="b">
        <f ca="1"/>
        <v>0</v>
      </c>
      <c r="G4" t="b">
        <f ca="1"/>
        <v>0</v>
      </c>
      <c r="H4">
        <f ca="1"/>
        <v>161</v>
      </c>
      <c r="I4" t="b">
        <f ca="1"/>
        <v>0</v>
      </c>
      <c r="J4" t="b">
        <f ca="1"/>
        <v>0</v>
      </c>
      <c r="K4" t="str">
        <f ca="1"/>
        <v>Attack</v>
      </c>
      <c r="L4">
        <f ca="1"/>
        <v>161</v>
      </c>
      <c r="M4" t="b">
        <f ca="1"/>
        <v>0</v>
      </c>
      <c r="N4" t="str">
        <f ca="1"/>
        <v>Unspecified</v>
      </c>
      <c r="O4" t="str">
        <f ca="1"/>
        <v>BBQKitchen</v>
      </c>
      <c r="P4" t="str">
        <f ca="1"/>
        <v>Lost</v>
      </c>
      <c r="Q4">
        <f ca="1"/>
        <v>0</v>
      </c>
    </row>
    <row r="5" spans="1:17" x14ac:dyDescent="0.25">
      <c r="A5" t="str">
        <f ca="1"/>
        <v>8_22 Skyscraper_1</v>
      </c>
      <c r="B5">
        <f ca="1"/>
        <v>4</v>
      </c>
      <c r="C5">
        <f ca="1"/>
        <v>0</v>
      </c>
      <c r="D5" t="str">
        <f ca="1"/>
        <v/>
      </c>
      <c r="E5" t="str">
        <f ca="1"/>
        <v/>
      </c>
      <c r="F5" t="b">
        <f ca="1"/>
        <v>0</v>
      </c>
      <c r="G5" t="b">
        <f ca="1"/>
        <v>0</v>
      </c>
      <c r="H5">
        <f ca="1"/>
        <v>152</v>
      </c>
      <c r="I5" t="b">
        <f ca="1"/>
        <v>0</v>
      </c>
      <c r="J5" t="b">
        <f ca="1"/>
        <v>0</v>
      </c>
      <c r="K5" t="str">
        <f ca="1"/>
        <v>Attack</v>
      </c>
      <c r="L5">
        <f ca="1"/>
        <v>152</v>
      </c>
      <c r="M5" t="b">
        <f ca="1"/>
        <v>0</v>
      </c>
      <c r="N5" t="str">
        <f ca="1"/>
        <v>Unspecified</v>
      </c>
      <c r="O5" t="str">
        <f ca="1"/>
        <v>WorkExibition</v>
      </c>
      <c r="P5" t="str">
        <f ca="1"/>
        <v>Won</v>
      </c>
      <c r="Q5">
        <f ca="1"/>
        <v>0</v>
      </c>
    </row>
    <row r="6" spans="1:17" x14ac:dyDescent="0.25">
      <c r="A6" t="str">
        <f ca="1"/>
        <v>8_22 Skyscraper_1</v>
      </c>
      <c r="B6">
        <f ca="1"/>
        <v>5</v>
      </c>
      <c r="C6">
        <f ca="1"/>
        <v>0</v>
      </c>
      <c r="D6" t="str">
        <f ca="1"/>
        <v/>
      </c>
      <c r="E6" t="str">
        <f ca="1"/>
        <v/>
      </c>
      <c r="F6" t="b">
        <f ca="1"/>
        <v>0</v>
      </c>
      <c r="G6" t="b">
        <f ca="1"/>
        <v>0</v>
      </c>
      <c r="H6">
        <f ca="1"/>
        <v>153</v>
      </c>
      <c r="I6" t="b">
        <f ca="1"/>
        <v>0</v>
      </c>
      <c r="J6" t="b">
        <f ca="1"/>
        <v>0</v>
      </c>
      <c r="K6" t="str">
        <f ca="1"/>
        <v>Attack</v>
      </c>
      <c r="L6">
        <f ca="1"/>
        <v>153</v>
      </c>
      <c r="M6" t="b">
        <f ca="1"/>
        <v>0</v>
      </c>
      <c r="N6" t="str">
        <f ca="1"/>
        <v>Unspecified</v>
      </c>
      <c r="O6" t="str">
        <f ca="1"/>
        <v>WorkExibition</v>
      </c>
      <c r="P6" t="str">
        <f ca="1"/>
        <v>Lost</v>
      </c>
      <c r="Q6">
        <f ca="1"/>
        <v>0</v>
      </c>
    </row>
    <row r="7" spans="1:17" x14ac:dyDescent="0.25">
      <c r="A7" t="str">
        <f ca="1"/>
        <v>8_22 Skyscraper_1</v>
      </c>
      <c r="B7">
        <f ca="1"/>
        <v>6</v>
      </c>
      <c r="C7">
        <f ca="1"/>
        <v>0</v>
      </c>
      <c r="D7" t="str">
        <f ca="1"/>
        <v/>
      </c>
      <c r="E7" t="str">
        <f ca="1"/>
        <v/>
      </c>
      <c r="F7" t="b">
        <f ca="1"/>
        <v>1</v>
      </c>
      <c r="G7" t="b">
        <f ca="1"/>
        <v>0</v>
      </c>
      <c r="H7">
        <f ca="1"/>
        <v>180</v>
      </c>
      <c r="I7" t="b">
        <f ca="1"/>
        <v>0</v>
      </c>
      <c r="J7" t="b">
        <f ca="1"/>
        <v>0</v>
      </c>
      <c r="K7" t="str">
        <f ca="1"/>
        <v>Attack</v>
      </c>
      <c r="L7">
        <f ca="1"/>
        <v>180</v>
      </c>
      <c r="M7" t="b">
        <f ca="1"/>
        <v>0</v>
      </c>
      <c r="N7" t="str">
        <f ca="1"/>
        <v>Unspecified</v>
      </c>
      <c r="O7" t="str">
        <f ca="1"/>
        <v>BBQKitchen</v>
      </c>
      <c r="P7" t="str">
        <f ca="1"/>
        <v>Lost</v>
      </c>
      <c r="Q7">
        <f ca="1"/>
        <v>0</v>
      </c>
    </row>
    <row r="8" spans="1:17" x14ac:dyDescent="0.25">
      <c r="A8" t="str">
        <f ca="1"/>
        <v>8_22 Skyscraper_1</v>
      </c>
      <c r="B8">
        <f ca="1"/>
        <v>7</v>
      </c>
      <c r="C8" t="str">
        <f ca="1"/>
        <v/>
      </c>
      <c r="D8">
        <f ca="1"/>
        <v>4</v>
      </c>
      <c r="E8">
        <f ca="1"/>
        <v>5</v>
      </c>
      <c r="F8" t="b">
        <f ca="1"/>
        <v>1</v>
      </c>
      <c r="G8" t="b">
        <f ca="1"/>
        <v>0</v>
      </c>
      <c r="H8">
        <f ca="1"/>
        <v>168</v>
      </c>
      <c r="I8" t="b">
        <f ca="1"/>
        <v>0</v>
      </c>
      <c r="J8" t="b">
        <f ca="1"/>
        <v>1</v>
      </c>
      <c r="K8" t="str">
        <f ca="1"/>
        <v>Defense</v>
      </c>
      <c r="L8">
        <f ca="1"/>
        <v>168</v>
      </c>
      <c r="M8" t="b">
        <f ca="1"/>
        <v>0</v>
      </c>
      <c r="N8" t="str">
        <f ca="1"/>
        <v>Unspecified</v>
      </c>
      <c r="O8" t="str">
        <f ca="1"/>
        <v>BBQKitchen</v>
      </c>
      <c r="P8" t="str">
        <f ca="1"/>
        <v>Won</v>
      </c>
      <c r="Q8">
        <f ca="1"/>
        <v>0</v>
      </c>
    </row>
    <row r="9" spans="1:17" x14ac:dyDescent="0.25">
      <c r="A9" t="str">
        <f ca="1"/>
        <v>8_22 Skyscraper_1</v>
      </c>
      <c r="B9">
        <f ca="1"/>
        <v>8</v>
      </c>
      <c r="C9" t="str">
        <f ca="1"/>
        <v/>
      </c>
      <c r="D9">
        <f ca="1"/>
        <v>1</v>
      </c>
      <c r="E9">
        <f ca="1"/>
        <v>1</v>
      </c>
      <c r="F9" t="b">
        <f ca="1"/>
        <v>1</v>
      </c>
      <c r="G9" t="b">
        <f ca="1"/>
        <v>0</v>
      </c>
      <c r="H9">
        <f ca="1"/>
        <v>93</v>
      </c>
      <c r="I9" t="b">
        <f ca="1"/>
        <v>0</v>
      </c>
      <c r="J9" t="b">
        <f ca="1"/>
        <v>0</v>
      </c>
      <c r="K9" t="str">
        <f ca="1"/>
        <v>Defense</v>
      </c>
      <c r="L9">
        <f ca="1"/>
        <v>93</v>
      </c>
      <c r="M9" t="b">
        <f ca="1"/>
        <v>0</v>
      </c>
      <c r="N9" t="str">
        <f ca="1"/>
        <v>Unspecified</v>
      </c>
      <c r="O9" t="str">
        <f ca="1"/>
        <v>WorkExibition</v>
      </c>
      <c r="P9" t="str">
        <f ca="1"/>
        <v>Won</v>
      </c>
      <c r="Q9">
        <f ca="1"/>
        <v>0</v>
      </c>
    </row>
    <row r="10" spans="1:17" x14ac:dyDescent="0.25">
      <c r="A10" t="str">
        <f ca="1"/>
        <v>8_22 Skyscraper_1</v>
      </c>
      <c r="B10">
        <f ca="1"/>
        <v>9</v>
      </c>
      <c r="C10" t="str">
        <f ca="1"/>
        <v/>
      </c>
      <c r="D10">
        <f ca="1"/>
        <v>3</v>
      </c>
      <c r="E10">
        <f ca="1"/>
        <v>6</v>
      </c>
      <c r="F10" t="b">
        <f ca="1"/>
        <v>0</v>
      </c>
      <c r="G10" t="b">
        <f ca="1"/>
        <v>0</v>
      </c>
      <c r="H10">
        <f ca="1"/>
        <v>169</v>
      </c>
      <c r="I10" t="b">
        <f ca="1"/>
        <v>0</v>
      </c>
      <c r="J10" t="b">
        <f ca="1"/>
        <v>0</v>
      </c>
      <c r="K10" t="str">
        <f ca="1"/>
        <v>Defense</v>
      </c>
      <c r="L10">
        <f ca="1"/>
        <v>169</v>
      </c>
      <c r="M10">
        <f ca="1"/>
        <v>158</v>
      </c>
      <c r="N10" t="str">
        <f ca="1"/>
        <v>Unspecified</v>
      </c>
      <c r="O10" t="str">
        <f ca="1"/>
        <v>TeaKaraoke</v>
      </c>
      <c r="P10" t="str">
        <f ca="1"/>
        <v>Lost</v>
      </c>
      <c r="Q10">
        <f ca="1"/>
        <v>0</v>
      </c>
    </row>
    <row r="11" spans="1:17" x14ac:dyDescent="0.25">
      <c r="A11" t="str">
        <f ca="1"/>
        <v>8_22 Skyscraper_1</v>
      </c>
      <c r="B11">
        <f ca="1"/>
        <v>10</v>
      </c>
      <c r="C11" t="str">
        <f ca="1"/>
        <v/>
      </c>
      <c r="D11">
        <f ca="1"/>
        <v>4</v>
      </c>
      <c r="E11">
        <f ca="1"/>
        <v>7</v>
      </c>
      <c r="F11" t="b">
        <f ca="1"/>
        <v>1</v>
      </c>
      <c r="G11" t="b">
        <f ca="1"/>
        <v>0</v>
      </c>
      <c r="H11">
        <f ca="1"/>
        <v>154</v>
      </c>
      <c r="I11" t="b">
        <f ca="1"/>
        <v>0</v>
      </c>
      <c r="J11" t="b">
        <f ca="1"/>
        <v>0</v>
      </c>
      <c r="K11" t="str">
        <f ca="1"/>
        <v>Defense</v>
      </c>
      <c r="L11">
        <f ca="1"/>
        <v>154</v>
      </c>
      <c r="M11" t="b">
        <f ca="1"/>
        <v>0</v>
      </c>
      <c r="N11" t="str">
        <f ca="1"/>
        <v>Unspecified</v>
      </c>
      <c r="O11" t="str">
        <f ca="1"/>
        <v>TeaKaraoke</v>
      </c>
      <c r="P11" t="str">
        <f ca="1"/>
        <v>Won</v>
      </c>
      <c r="Q11">
        <f ca="1"/>
        <v>0</v>
      </c>
    </row>
    <row r="12" spans="1:17" x14ac:dyDescent="0.25">
      <c r="A12" t="str">
        <f ca="1"/>
        <v>8_22 Skyscraper_1</v>
      </c>
      <c r="B12">
        <f ca="1"/>
        <v>11</v>
      </c>
      <c r="C12" t="str">
        <f ca="1"/>
        <v/>
      </c>
      <c r="D12">
        <f ca="1"/>
        <v>1</v>
      </c>
      <c r="E12">
        <f ca="1"/>
        <v>6</v>
      </c>
      <c r="F12" t="b">
        <f ca="1"/>
        <v>0</v>
      </c>
      <c r="G12" t="b">
        <f ca="1"/>
        <v>0</v>
      </c>
      <c r="H12">
        <f ca="1"/>
        <v>127</v>
      </c>
      <c r="I12" t="b">
        <f ca="1"/>
        <v>0</v>
      </c>
      <c r="J12" t="b">
        <f ca="1"/>
        <v>0</v>
      </c>
      <c r="K12" t="str">
        <f ca="1"/>
        <v>Defense</v>
      </c>
      <c r="L12">
        <f ca="1"/>
        <v>127</v>
      </c>
      <c r="M12" t="b">
        <f ca="1"/>
        <v>0</v>
      </c>
      <c r="N12" t="str">
        <f ca="1"/>
        <v>Unspecified</v>
      </c>
      <c r="O12" t="str">
        <f ca="1"/>
        <v>WorkExibition</v>
      </c>
      <c r="P12" t="str">
        <f ca="1"/>
        <v>Won</v>
      </c>
      <c r="Q12">
        <f ca="1"/>
        <v>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58F170-97DC-4CB6-B968-504ED2AD83E4}">
  <sheetPr codeName="Sheet7"/>
  <dimension ref="A1:AK12"/>
  <sheetViews>
    <sheetView topLeftCell="I1" workbookViewId="0">
      <selection activeCell="AJ5" sqref="AJ5"/>
    </sheetView>
  </sheetViews>
  <sheetFormatPr defaultRowHeight="15" x14ac:dyDescent="0.25"/>
  <sheetData>
    <row r="1" spans="1:37" x14ac:dyDescent="0.25">
      <c r="A1" s="13" t="s">
        <v>304</v>
      </c>
      <c r="B1" s="21" t="s">
        <v>342</v>
      </c>
      <c r="C1" s="13" t="s">
        <v>60</v>
      </c>
      <c r="D1" s="13" t="s">
        <v>340</v>
      </c>
      <c r="E1" s="54" t="s">
        <v>311</v>
      </c>
      <c r="F1" s="53" t="s">
        <v>312</v>
      </c>
      <c r="G1" s="13" t="s">
        <v>41</v>
      </c>
      <c r="H1" s="13" t="s">
        <v>338</v>
      </c>
      <c r="I1" s="13" t="s">
        <v>339</v>
      </c>
      <c r="J1" s="50" t="s">
        <v>61</v>
      </c>
      <c r="K1" s="49" t="s">
        <v>423</v>
      </c>
      <c r="L1" s="49" t="s">
        <v>313</v>
      </c>
      <c r="M1" s="50" t="s">
        <v>314</v>
      </c>
      <c r="N1" s="21" t="s">
        <v>422</v>
      </c>
      <c r="O1" s="21" t="s">
        <v>421</v>
      </c>
      <c r="P1" s="21" t="s">
        <v>420</v>
      </c>
      <c r="Q1" s="53" t="s">
        <v>63</v>
      </c>
      <c r="R1" s="54" t="s">
        <v>419</v>
      </c>
      <c r="S1" s="54" t="s">
        <v>315</v>
      </c>
      <c r="T1" s="53" t="s">
        <v>316</v>
      </c>
      <c r="U1" s="13" t="s">
        <v>418</v>
      </c>
      <c r="V1" s="13" t="s">
        <v>417</v>
      </c>
      <c r="W1" s="13" t="s">
        <v>416</v>
      </c>
      <c r="X1" s="50" t="s">
        <v>64</v>
      </c>
      <c r="Y1" s="49" t="s">
        <v>415</v>
      </c>
      <c r="Z1" s="49" t="s">
        <v>317</v>
      </c>
      <c r="AA1" s="50" t="s">
        <v>318</v>
      </c>
      <c r="AB1" s="21" t="s">
        <v>414</v>
      </c>
      <c r="AC1" s="21" t="s">
        <v>413</v>
      </c>
      <c r="AD1" s="21" t="s">
        <v>412</v>
      </c>
      <c r="AE1" s="53" t="s">
        <v>65</v>
      </c>
      <c r="AF1" s="54" t="s">
        <v>411</v>
      </c>
      <c r="AG1" s="54" t="s">
        <v>319</v>
      </c>
      <c r="AH1" s="53" t="s">
        <v>320</v>
      </c>
      <c r="AI1" s="13" t="s">
        <v>409</v>
      </c>
      <c r="AJ1" s="13" t="s">
        <v>408</v>
      </c>
      <c r="AK1" s="13" t="s">
        <v>410</v>
      </c>
    </row>
    <row r="2" spans="1:37" x14ac:dyDescent="0.25">
      <c r="A2" t="str" cm="1">
        <f t="array" aca="1" ref="A2:AK12" ca="1">pulloverall(REF!A10:A18,REF!A7,REF!A2:A7,REF!B2)</f>
        <v>8_22 Skyscraper_1</v>
      </c>
      <c r="B2" t="b">
        <f ca="1"/>
        <v>0</v>
      </c>
      <c r="C2" t="str">
        <f ca="1"/>
        <v>NOLOC</v>
      </c>
      <c r="D2" t="b">
        <f ca="1"/>
        <v>0</v>
      </c>
      <c r="E2" t="b">
        <f ca="1"/>
        <v>0</v>
      </c>
      <c r="F2" t="b">
        <f ca="1"/>
        <v>0</v>
      </c>
      <c r="G2" t="b">
        <f ca="1"/>
        <v>0</v>
      </c>
      <c r="H2" t="b">
        <f ca="1"/>
        <v>0</v>
      </c>
      <c r="I2" t="str">
        <f ca="1"/>
        <v>N/A</v>
      </c>
      <c r="J2" t="str">
        <f ca="1"/>
        <v>NOLOC</v>
      </c>
      <c r="K2" t="b">
        <f ca="1"/>
        <v>0</v>
      </c>
      <c r="L2" t="b">
        <f ca="1"/>
        <v>0</v>
      </c>
      <c r="M2" t="b">
        <f ca="1"/>
        <v>0</v>
      </c>
      <c r="N2" t="b">
        <f ca="1"/>
        <v>0</v>
      </c>
      <c r="O2" t="b">
        <f ca="1"/>
        <v>0</v>
      </c>
      <c r="P2" t="str">
        <f ca="1"/>
        <v>N/A</v>
      </c>
      <c r="Q2" t="str">
        <f ca="1"/>
        <v>NOLOC</v>
      </c>
      <c r="R2" t="b">
        <f ca="1"/>
        <v>0</v>
      </c>
      <c r="S2" t="b">
        <f ca="1"/>
        <v>0</v>
      </c>
      <c r="T2" t="b">
        <f ca="1"/>
        <v>0</v>
      </c>
      <c r="U2" t="b">
        <f ca="1"/>
        <v>0</v>
      </c>
      <c r="V2" t="b">
        <f ca="1"/>
        <v>0</v>
      </c>
      <c r="W2" t="str">
        <f ca="1"/>
        <v>N/A</v>
      </c>
      <c r="X2" t="str">
        <f ca="1"/>
        <v>NOLOC</v>
      </c>
      <c r="Y2" t="b">
        <f ca="1"/>
        <v>0</v>
      </c>
      <c r="Z2" t="b">
        <f ca="1"/>
        <v>0</v>
      </c>
      <c r="AA2" t="b">
        <f ca="1"/>
        <v>0</v>
      </c>
      <c r="AB2" t="b">
        <f ca="1"/>
        <v>0</v>
      </c>
      <c r="AC2" t="b">
        <f ca="1"/>
        <v>0</v>
      </c>
      <c r="AD2" t="str">
        <f ca="1"/>
        <v>N/A</v>
      </c>
      <c r="AE2" t="str">
        <f ca="1"/>
        <v>NOLOC</v>
      </c>
      <c r="AF2" t="b">
        <f ca="1"/>
        <v>0</v>
      </c>
      <c r="AG2" t="b">
        <f ca="1"/>
        <v>0</v>
      </c>
      <c r="AH2" t="b">
        <f ca="1"/>
        <v>0</v>
      </c>
      <c r="AI2" t="b">
        <f ca="1"/>
        <v>0</v>
      </c>
      <c r="AJ2" t="b">
        <f ca="1"/>
        <v>0</v>
      </c>
      <c r="AK2" t="str">
        <f ca="1"/>
        <v>N/A</v>
      </c>
    </row>
    <row r="3" spans="1:37" x14ac:dyDescent="0.25">
      <c r="A3" t="str">
        <f ca="1"/>
        <v>8_22 Skyscraper_1</v>
      </c>
      <c r="B3" t="b">
        <f ca="1"/>
        <v>0</v>
      </c>
      <c r="C3" t="str">
        <f ca="1"/>
        <v>NOLOC</v>
      </c>
      <c r="D3" t="b">
        <f ca="1"/>
        <v>0</v>
      </c>
      <c r="E3" t="b">
        <f ca="1"/>
        <v>0</v>
      </c>
      <c r="F3" t="b">
        <f ca="1"/>
        <v>0</v>
      </c>
      <c r="G3" t="b">
        <f ca="1"/>
        <v>0</v>
      </c>
      <c r="H3" t="b">
        <f ca="1"/>
        <v>0</v>
      </c>
      <c r="I3" t="str">
        <f ca="1"/>
        <v>N/A</v>
      </c>
      <c r="J3" t="str">
        <f ca="1"/>
        <v>NOLOC</v>
      </c>
      <c r="K3" t="b">
        <f ca="1"/>
        <v>0</v>
      </c>
      <c r="L3" t="b">
        <f ca="1"/>
        <v>0</v>
      </c>
      <c r="M3" t="b">
        <f ca="1"/>
        <v>0</v>
      </c>
      <c r="N3" t="b">
        <f ca="1"/>
        <v>0</v>
      </c>
      <c r="O3" t="b">
        <f ca="1"/>
        <v>0</v>
      </c>
      <c r="P3" t="str">
        <f ca="1"/>
        <v>N/A</v>
      </c>
      <c r="Q3" t="str">
        <f ca="1"/>
        <v>NOLOC</v>
      </c>
      <c r="R3" t="b">
        <f ca="1"/>
        <v>0</v>
      </c>
      <c r="S3" t="b">
        <f ca="1"/>
        <v>0</v>
      </c>
      <c r="T3" t="b">
        <f ca="1"/>
        <v>0</v>
      </c>
      <c r="U3" t="b">
        <f ca="1"/>
        <v>0</v>
      </c>
      <c r="V3" t="b">
        <f ca="1"/>
        <v>0</v>
      </c>
      <c r="W3" t="str">
        <f ca="1"/>
        <v>N/A</v>
      </c>
      <c r="X3" t="str">
        <f ca="1"/>
        <v>NOLOC</v>
      </c>
      <c r="Y3" t="b">
        <f ca="1"/>
        <v>0</v>
      </c>
      <c r="Z3" t="b">
        <f ca="1"/>
        <v>0</v>
      </c>
      <c r="AA3" t="b">
        <f ca="1"/>
        <v>0</v>
      </c>
      <c r="AB3" t="b">
        <f ca="1"/>
        <v>0</v>
      </c>
      <c r="AC3" t="b">
        <f ca="1"/>
        <v>0</v>
      </c>
      <c r="AD3" t="str">
        <f ca="1"/>
        <v>N/A</v>
      </c>
      <c r="AE3" t="str">
        <f ca="1"/>
        <v>NOLOC</v>
      </c>
      <c r="AF3" t="b">
        <f ca="1"/>
        <v>0</v>
      </c>
      <c r="AG3" t="b">
        <f ca="1"/>
        <v>0</v>
      </c>
      <c r="AH3" t="b">
        <f ca="1"/>
        <v>0</v>
      </c>
      <c r="AI3" t="b">
        <f ca="1"/>
        <v>0</v>
      </c>
      <c r="AJ3" t="b">
        <f ca="1"/>
        <v>0</v>
      </c>
      <c r="AK3" t="str">
        <f ca="1"/>
        <v>N/A</v>
      </c>
    </row>
    <row r="4" spans="1:37" x14ac:dyDescent="0.25">
      <c r="A4" t="str">
        <f ca="1"/>
        <v>8_22 Skyscraper_1</v>
      </c>
      <c r="B4" t="b">
        <f ca="1"/>
        <v>0</v>
      </c>
      <c r="C4" t="str">
        <f ca="1"/>
        <v>NOLOC</v>
      </c>
      <c r="D4" t="b">
        <f ca="1"/>
        <v>0</v>
      </c>
      <c r="E4" t="b">
        <f ca="1"/>
        <v>0</v>
      </c>
      <c r="F4" t="b">
        <f ca="1"/>
        <v>0</v>
      </c>
      <c r="G4" t="b">
        <f ca="1"/>
        <v>0</v>
      </c>
      <c r="H4" t="b">
        <f ca="1"/>
        <v>0</v>
      </c>
      <c r="I4" t="str">
        <f ca="1"/>
        <v>N/A</v>
      </c>
      <c r="J4" t="str">
        <f ca="1"/>
        <v>NOLOC</v>
      </c>
      <c r="K4" t="b">
        <f ca="1"/>
        <v>0</v>
      </c>
      <c r="L4" t="b">
        <f ca="1"/>
        <v>0</v>
      </c>
      <c r="M4" t="b">
        <f ca="1"/>
        <v>0</v>
      </c>
      <c r="N4" t="b">
        <f ca="1"/>
        <v>0</v>
      </c>
      <c r="O4" t="b">
        <f ca="1"/>
        <v>0</v>
      </c>
      <c r="P4" t="str">
        <f ca="1"/>
        <v>N/A</v>
      </c>
      <c r="Q4" t="str">
        <f ca="1"/>
        <v>NOLOC</v>
      </c>
      <c r="R4" t="b">
        <f ca="1"/>
        <v>0</v>
      </c>
      <c r="S4" t="b">
        <f ca="1"/>
        <v>0</v>
      </c>
      <c r="T4" t="b">
        <f ca="1"/>
        <v>0</v>
      </c>
      <c r="U4" t="b">
        <f ca="1"/>
        <v>0</v>
      </c>
      <c r="V4" t="b">
        <f ca="1"/>
        <v>0</v>
      </c>
      <c r="W4" t="str">
        <f ca="1"/>
        <v>N/A</v>
      </c>
      <c r="X4" t="str">
        <f ca="1"/>
        <v>NOLOC</v>
      </c>
      <c r="Y4" t="b">
        <f ca="1"/>
        <v>0</v>
      </c>
      <c r="Z4" t="b">
        <f ca="1"/>
        <v>0</v>
      </c>
      <c r="AA4" t="b">
        <f ca="1"/>
        <v>0</v>
      </c>
      <c r="AB4" t="b">
        <f ca="1"/>
        <v>0</v>
      </c>
      <c r="AC4" t="b">
        <f ca="1"/>
        <v>0</v>
      </c>
      <c r="AD4" t="str">
        <f ca="1"/>
        <v>N/A</v>
      </c>
      <c r="AE4" t="str">
        <f ca="1"/>
        <v>NOLOC</v>
      </c>
      <c r="AF4" t="b">
        <f ca="1"/>
        <v>0</v>
      </c>
      <c r="AG4" t="b">
        <f ca="1"/>
        <v>0</v>
      </c>
      <c r="AH4" t="b">
        <f ca="1"/>
        <v>0</v>
      </c>
      <c r="AI4" t="b">
        <f ca="1"/>
        <v>0</v>
      </c>
      <c r="AJ4" t="b">
        <f ca="1"/>
        <v>0</v>
      </c>
      <c r="AK4" t="str">
        <f ca="1"/>
        <v>N/A</v>
      </c>
    </row>
    <row r="5" spans="1:37" x14ac:dyDescent="0.25">
      <c r="A5" t="str">
        <f ca="1"/>
        <v>8_22 Skyscraper_1</v>
      </c>
      <c r="B5" t="b">
        <f ca="1"/>
        <v>0</v>
      </c>
      <c r="C5" t="str">
        <f ca="1"/>
        <v>NOLOC</v>
      </c>
      <c r="D5" t="b">
        <f ca="1"/>
        <v>0</v>
      </c>
      <c r="E5" t="b">
        <f ca="1"/>
        <v>0</v>
      </c>
      <c r="F5" t="b">
        <f ca="1"/>
        <v>0</v>
      </c>
      <c r="G5" t="b">
        <f ca="1"/>
        <v>0</v>
      </c>
      <c r="H5" t="b">
        <f ca="1"/>
        <v>0</v>
      </c>
      <c r="I5" t="str">
        <f ca="1"/>
        <v>N/A</v>
      </c>
      <c r="J5" t="str">
        <f ca="1"/>
        <v>NOLOC</v>
      </c>
      <c r="K5" t="b">
        <f ca="1"/>
        <v>0</v>
      </c>
      <c r="L5" t="b">
        <f ca="1"/>
        <v>0</v>
      </c>
      <c r="M5" t="b">
        <f ca="1"/>
        <v>0</v>
      </c>
      <c r="N5" t="b">
        <f ca="1"/>
        <v>0</v>
      </c>
      <c r="O5" t="b">
        <f ca="1"/>
        <v>0</v>
      </c>
      <c r="P5" t="str">
        <f ca="1"/>
        <v>N/A</v>
      </c>
      <c r="Q5" t="str">
        <f ca="1"/>
        <v>NOLOC</v>
      </c>
      <c r="R5" t="b">
        <f ca="1"/>
        <v>0</v>
      </c>
      <c r="S5" t="b">
        <f ca="1"/>
        <v>0</v>
      </c>
      <c r="T5" t="b">
        <f ca="1"/>
        <v>0</v>
      </c>
      <c r="U5" t="b">
        <f ca="1"/>
        <v>0</v>
      </c>
      <c r="V5" t="b">
        <f ca="1"/>
        <v>0</v>
      </c>
      <c r="W5" t="str">
        <f ca="1"/>
        <v>N/A</v>
      </c>
      <c r="X5" t="str">
        <f ca="1"/>
        <v>NOLOC</v>
      </c>
      <c r="Y5" t="b">
        <f ca="1"/>
        <v>0</v>
      </c>
      <c r="Z5" t="b">
        <f ca="1"/>
        <v>0</v>
      </c>
      <c r="AA5" t="b">
        <f ca="1"/>
        <v>0</v>
      </c>
      <c r="AB5" t="b">
        <f ca="1"/>
        <v>0</v>
      </c>
      <c r="AC5" t="b">
        <f ca="1"/>
        <v>0</v>
      </c>
      <c r="AD5" t="str">
        <f ca="1"/>
        <v>N/A</v>
      </c>
      <c r="AE5" t="str">
        <f ca="1"/>
        <v>NOLOC</v>
      </c>
      <c r="AF5" t="b">
        <f ca="1"/>
        <v>0</v>
      </c>
      <c r="AG5" t="b">
        <f ca="1"/>
        <v>0</v>
      </c>
      <c r="AH5" t="b">
        <f ca="1"/>
        <v>0</v>
      </c>
      <c r="AI5" t="b">
        <f ca="1"/>
        <v>0</v>
      </c>
      <c r="AJ5" t="b">
        <f ca="1"/>
        <v>0</v>
      </c>
      <c r="AK5" t="str">
        <f ca="1"/>
        <v>N/A</v>
      </c>
    </row>
    <row r="6" spans="1:37" x14ac:dyDescent="0.25">
      <c r="A6" t="str">
        <f ca="1"/>
        <v>8_22 Skyscraper_1</v>
      </c>
      <c r="B6" t="b">
        <f ca="1"/>
        <v>0</v>
      </c>
      <c r="C6" t="str">
        <f ca="1"/>
        <v>NOLOC</v>
      </c>
      <c r="D6" t="b">
        <f ca="1"/>
        <v>0</v>
      </c>
      <c r="E6" t="b">
        <f ca="1"/>
        <v>0</v>
      </c>
      <c r="F6" t="b">
        <f ca="1"/>
        <v>0</v>
      </c>
      <c r="G6" t="b">
        <f ca="1"/>
        <v>0</v>
      </c>
      <c r="H6" t="b">
        <f ca="1"/>
        <v>0</v>
      </c>
      <c r="I6" t="str">
        <f ca="1"/>
        <v>N/A</v>
      </c>
      <c r="J6" t="str">
        <f ca="1"/>
        <v>NOLOC</v>
      </c>
      <c r="K6" t="b">
        <f ca="1"/>
        <v>0</v>
      </c>
      <c r="L6" t="b">
        <f ca="1"/>
        <v>0</v>
      </c>
      <c r="M6" t="b">
        <f ca="1"/>
        <v>0</v>
      </c>
      <c r="N6" t="b">
        <f ca="1"/>
        <v>0</v>
      </c>
      <c r="O6" t="b">
        <f ca="1"/>
        <v>0</v>
      </c>
      <c r="P6" t="str">
        <f ca="1"/>
        <v>N/A</v>
      </c>
      <c r="Q6" t="str">
        <f ca="1"/>
        <v>NOLOC</v>
      </c>
      <c r="R6" t="b">
        <f ca="1"/>
        <v>0</v>
      </c>
      <c r="S6" t="b">
        <f ca="1"/>
        <v>0</v>
      </c>
      <c r="T6" t="b">
        <f ca="1"/>
        <v>0</v>
      </c>
      <c r="U6" t="b">
        <f ca="1"/>
        <v>0</v>
      </c>
      <c r="V6" t="b">
        <f ca="1"/>
        <v>0</v>
      </c>
      <c r="W6" t="str">
        <f ca="1"/>
        <v>N/A</v>
      </c>
      <c r="X6" t="str">
        <f ca="1"/>
        <v>NOLOC</v>
      </c>
      <c r="Y6" t="b">
        <f ca="1"/>
        <v>0</v>
      </c>
      <c r="Z6" t="b">
        <f ca="1"/>
        <v>0</v>
      </c>
      <c r="AA6" t="b">
        <f ca="1"/>
        <v>0</v>
      </c>
      <c r="AB6" t="b">
        <f ca="1"/>
        <v>0</v>
      </c>
      <c r="AC6" t="b">
        <f ca="1"/>
        <v>0</v>
      </c>
      <c r="AD6" t="str">
        <f ca="1"/>
        <v>N/A</v>
      </c>
      <c r="AE6" t="str">
        <f ca="1"/>
        <v>NOLOC</v>
      </c>
      <c r="AF6" t="b">
        <f ca="1"/>
        <v>0</v>
      </c>
      <c r="AG6" t="b">
        <f ca="1"/>
        <v>0</v>
      </c>
      <c r="AH6" t="b">
        <f ca="1"/>
        <v>0</v>
      </c>
      <c r="AI6" t="b">
        <f ca="1"/>
        <v>0</v>
      </c>
      <c r="AJ6" t="b">
        <f ca="1"/>
        <v>0</v>
      </c>
      <c r="AK6" t="str">
        <f ca="1"/>
        <v>N/A</v>
      </c>
    </row>
    <row r="7" spans="1:37" x14ac:dyDescent="0.25">
      <c r="A7" t="str">
        <f ca="1"/>
        <v>8_22 Skyscraper_1</v>
      </c>
      <c r="B7" t="b">
        <f ca="1"/>
        <v>0</v>
      </c>
      <c r="C7" t="str">
        <f ca="1"/>
        <v>NOLOC</v>
      </c>
      <c r="D7" t="b">
        <f ca="1"/>
        <v>0</v>
      </c>
      <c r="E7" t="b">
        <f ca="1"/>
        <v>0</v>
      </c>
      <c r="F7" t="b">
        <f ca="1"/>
        <v>0</v>
      </c>
      <c r="G7" t="b">
        <f ca="1"/>
        <v>0</v>
      </c>
      <c r="H7" t="b">
        <f ca="1"/>
        <v>0</v>
      </c>
      <c r="I7" t="str">
        <f ca="1"/>
        <v>N/A</v>
      </c>
      <c r="J7" t="str">
        <f ca="1"/>
        <v>NOLOC</v>
      </c>
      <c r="K7" t="b">
        <f ca="1"/>
        <v>0</v>
      </c>
      <c r="L7" t="b">
        <f ca="1"/>
        <v>0</v>
      </c>
      <c r="M7" t="b">
        <f ca="1"/>
        <v>0</v>
      </c>
      <c r="N7" t="b">
        <f ca="1"/>
        <v>0</v>
      </c>
      <c r="O7" t="b">
        <f ca="1"/>
        <v>0</v>
      </c>
      <c r="P7" t="str">
        <f ca="1"/>
        <v>N/A</v>
      </c>
      <c r="Q7" t="str">
        <f ca="1"/>
        <v>NOLOC</v>
      </c>
      <c r="R7" t="b">
        <f ca="1"/>
        <v>0</v>
      </c>
      <c r="S7" t="b">
        <f ca="1"/>
        <v>0</v>
      </c>
      <c r="T7" t="b">
        <f ca="1"/>
        <v>0</v>
      </c>
      <c r="U7" t="b">
        <f ca="1"/>
        <v>0</v>
      </c>
      <c r="V7" t="b">
        <f ca="1"/>
        <v>0</v>
      </c>
      <c r="W7" t="str">
        <f ca="1"/>
        <v>N/A</v>
      </c>
      <c r="X7" t="str">
        <f ca="1"/>
        <v>NOLOC</v>
      </c>
      <c r="Y7" t="b">
        <f ca="1"/>
        <v>0</v>
      </c>
      <c r="Z7" t="b">
        <f ca="1"/>
        <v>0</v>
      </c>
      <c r="AA7" t="b">
        <f ca="1"/>
        <v>0</v>
      </c>
      <c r="AB7" t="b">
        <f ca="1"/>
        <v>0</v>
      </c>
      <c r="AC7" t="b">
        <f ca="1"/>
        <v>0</v>
      </c>
      <c r="AD7" t="str">
        <f ca="1"/>
        <v>N/A</v>
      </c>
      <c r="AE7" t="str">
        <f ca="1"/>
        <v>NOLOC</v>
      </c>
      <c r="AF7" t="b">
        <f ca="1"/>
        <v>0</v>
      </c>
      <c r="AG7" t="b">
        <f ca="1"/>
        <v>0</v>
      </c>
      <c r="AH7" t="b">
        <f ca="1"/>
        <v>0</v>
      </c>
      <c r="AI7" t="b">
        <f ca="1"/>
        <v>0</v>
      </c>
      <c r="AJ7" t="b">
        <f ca="1"/>
        <v>0</v>
      </c>
      <c r="AK7" t="str">
        <f ca="1"/>
        <v>N/A</v>
      </c>
    </row>
    <row r="8" spans="1:37" x14ac:dyDescent="0.25">
      <c r="A8" t="str">
        <f ca="1"/>
        <v>8_22 Skyscraper_1</v>
      </c>
      <c r="B8" t="b">
        <f ca="1"/>
        <v>0</v>
      </c>
      <c r="C8" t="str">
        <f ca="1"/>
        <v>NOLOC</v>
      </c>
      <c r="D8" t="b">
        <f ca="1"/>
        <v>0</v>
      </c>
      <c r="E8" t="b">
        <f ca="1"/>
        <v>0</v>
      </c>
      <c r="F8" t="b">
        <f ca="1"/>
        <v>0</v>
      </c>
      <c r="G8" t="b">
        <f ca="1"/>
        <v>0</v>
      </c>
      <c r="H8" t="b">
        <f ca="1"/>
        <v>0</v>
      </c>
      <c r="I8" t="str">
        <f ca="1"/>
        <v>N/A</v>
      </c>
      <c r="J8" t="str">
        <f ca="1"/>
        <v>NOLOC</v>
      </c>
      <c r="K8" t="b">
        <f ca="1"/>
        <v>0</v>
      </c>
      <c r="L8" t="b">
        <f ca="1"/>
        <v>0</v>
      </c>
      <c r="M8" t="b">
        <f ca="1"/>
        <v>0</v>
      </c>
      <c r="N8" t="b">
        <f ca="1"/>
        <v>0</v>
      </c>
      <c r="O8" t="b">
        <f ca="1"/>
        <v>0</v>
      </c>
      <c r="P8" t="str">
        <f ca="1"/>
        <v>N/A</v>
      </c>
      <c r="Q8" t="str">
        <f ca="1"/>
        <v>NOLOC</v>
      </c>
      <c r="R8" t="b">
        <f ca="1"/>
        <v>0</v>
      </c>
      <c r="S8" t="b">
        <f ca="1"/>
        <v>0</v>
      </c>
      <c r="T8" t="b">
        <f ca="1"/>
        <v>0</v>
      </c>
      <c r="U8" t="b">
        <f ca="1"/>
        <v>0</v>
      </c>
      <c r="V8" t="b">
        <f ca="1"/>
        <v>0</v>
      </c>
      <c r="W8" t="str">
        <f ca="1"/>
        <v>N/A</v>
      </c>
      <c r="X8" t="str">
        <f ca="1"/>
        <v>NOLOC</v>
      </c>
      <c r="Y8" t="b">
        <f ca="1"/>
        <v>0</v>
      </c>
      <c r="Z8" t="b">
        <f ca="1"/>
        <v>0</v>
      </c>
      <c r="AA8" t="b">
        <f ca="1"/>
        <v>0</v>
      </c>
      <c r="AB8" t="b">
        <f ca="1"/>
        <v>0</v>
      </c>
      <c r="AC8" t="b">
        <f ca="1"/>
        <v>0</v>
      </c>
      <c r="AD8" t="str">
        <f ca="1"/>
        <v>N/A</v>
      </c>
      <c r="AE8" t="str">
        <f ca="1"/>
        <v>NOLOC</v>
      </c>
      <c r="AF8" t="b">
        <f ca="1"/>
        <v>0</v>
      </c>
      <c r="AG8" t="b">
        <f ca="1"/>
        <v>0</v>
      </c>
      <c r="AH8" t="b">
        <f ca="1"/>
        <v>0</v>
      </c>
      <c r="AI8" t="b">
        <f ca="1"/>
        <v>0</v>
      </c>
      <c r="AJ8" t="b">
        <f ca="1"/>
        <v>0</v>
      </c>
      <c r="AK8" t="str">
        <f ca="1"/>
        <v>N/A</v>
      </c>
    </row>
    <row r="9" spans="1:37" x14ac:dyDescent="0.25">
      <c r="A9" t="str">
        <f ca="1"/>
        <v>8_22 Skyscraper_1</v>
      </c>
      <c r="B9" t="b">
        <f ca="1"/>
        <v>0</v>
      </c>
      <c r="C9" t="str">
        <f ca="1"/>
        <v>NOLOC</v>
      </c>
      <c r="D9" t="b">
        <f ca="1"/>
        <v>0</v>
      </c>
      <c r="E9" t="b">
        <f ca="1"/>
        <v>0</v>
      </c>
      <c r="F9" t="b">
        <f ca="1"/>
        <v>0</v>
      </c>
      <c r="G9" t="b">
        <f ca="1"/>
        <v>0</v>
      </c>
      <c r="H9" t="b">
        <f ca="1"/>
        <v>0</v>
      </c>
      <c r="I9" t="str">
        <f ca="1"/>
        <v>N/A</v>
      </c>
      <c r="J9" t="str">
        <f ca="1"/>
        <v>NOLOC</v>
      </c>
      <c r="K9" t="b">
        <f ca="1"/>
        <v>0</v>
      </c>
      <c r="L9" t="b">
        <f ca="1"/>
        <v>0</v>
      </c>
      <c r="M9" t="b">
        <f ca="1"/>
        <v>0</v>
      </c>
      <c r="N9" t="b">
        <f ca="1"/>
        <v>0</v>
      </c>
      <c r="O9" t="b">
        <f ca="1"/>
        <v>0</v>
      </c>
      <c r="P9" t="str">
        <f ca="1"/>
        <v>N/A</v>
      </c>
      <c r="Q9" t="str">
        <f ca="1"/>
        <v>NOLOC</v>
      </c>
      <c r="R9" t="b">
        <f ca="1"/>
        <v>0</v>
      </c>
      <c r="S9" t="b">
        <f ca="1"/>
        <v>0</v>
      </c>
      <c r="T9" t="b">
        <f ca="1"/>
        <v>0</v>
      </c>
      <c r="U9" t="b">
        <f ca="1"/>
        <v>0</v>
      </c>
      <c r="V9" t="b">
        <f ca="1"/>
        <v>0</v>
      </c>
      <c r="W9" t="str">
        <f ca="1"/>
        <v>N/A</v>
      </c>
      <c r="X9" t="str">
        <f ca="1"/>
        <v>NOLOC</v>
      </c>
      <c r="Y9" t="b">
        <f ca="1"/>
        <v>0</v>
      </c>
      <c r="Z9" t="b">
        <f ca="1"/>
        <v>0</v>
      </c>
      <c r="AA9" t="b">
        <f ca="1"/>
        <v>0</v>
      </c>
      <c r="AB9" t="b">
        <f ca="1"/>
        <v>0</v>
      </c>
      <c r="AC9" t="b">
        <f ca="1"/>
        <v>0</v>
      </c>
      <c r="AD9" t="str">
        <f ca="1"/>
        <v>N/A</v>
      </c>
      <c r="AE9" t="str">
        <f ca="1"/>
        <v>NOLOC</v>
      </c>
      <c r="AF9" t="b">
        <f ca="1"/>
        <v>0</v>
      </c>
      <c r="AG9" t="b">
        <f ca="1"/>
        <v>0</v>
      </c>
      <c r="AH9" t="b">
        <f ca="1"/>
        <v>0</v>
      </c>
      <c r="AI9" t="b">
        <f ca="1"/>
        <v>0</v>
      </c>
      <c r="AJ9" t="b">
        <f ca="1"/>
        <v>0</v>
      </c>
      <c r="AK9" t="str">
        <f ca="1"/>
        <v>N/A</v>
      </c>
    </row>
    <row r="10" spans="1:37" x14ac:dyDescent="0.25">
      <c r="A10" t="str">
        <f ca="1"/>
        <v>8_22 Skyscraper_1</v>
      </c>
      <c r="B10" t="b">
        <f ca="1"/>
        <v>0</v>
      </c>
      <c r="C10" t="str">
        <f ca="1"/>
        <v>NOLOC</v>
      </c>
      <c r="D10" t="b">
        <f ca="1"/>
        <v>0</v>
      </c>
      <c r="E10" t="b">
        <f ca="1"/>
        <v>0</v>
      </c>
      <c r="F10" t="b">
        <f ca="1"/>
        <v>0</v>
      </c>
      <c r="G10" t="b">
        <f ca="1"/>
        <v>0</v>
      </c>
      <c r="H10" t="b">
        <f ca="1"/>
        <v>0</v>
      </c>
      <c r="I10" t="str">
        <f ca="1"/>
        <v>N/A</v>
      </c>
      <c r="J10" t="str">
        <f ca="1"/>
        <v>NOLOC</v>
      </c>
      <c r="K10" t="b">
        <f ca="1"/>
        <v>0</v>
      </c>
      <c r="L10" t="b">
        <f ca="1"/>
        <v>0</v>
      </c>
      <c r="M10" t="b">
        <f ca="1"/>
        <v>0</v>
      </c>
      <c r="N10" t="b">
        <f ca="1"/>
        <v>0</v>
      </c>
      <c r="O10" t="b">
        <f ca="1"/>
        <v>0</v>
      </c>
      <c r="P10" t="str">
        <f ca="1"/>
        <v>N/A</v>
      </c>
      <c r="Q10" t="str">
        <f ca="1"/>
        <v>NOLOC</v>
      </c>
      <c r="R10" t="b">
        <f ca="1"/>
        <v>0</v>
      </c>
      <c r="S10" t="b">
        <f ca="1"/>
        <v>0</v>
      </c>
      <c r="T10" t="b">
        <f ca="1"/>
        <v>0</v>
      </c>
      <c r="U10" t="b">
        <f ca="1"/>
        <v>0</v>
      </c>
      <c r="V10" t="b">
        <f ca="1"/>
        <v>0</v>
      </c>
      <c r="W10" t="str">
        <f ca="1"/>
        <v>N/A</v>
      </c>
      <c r="X10" t="str">
        <f ca="1"/>
        <v>NOLOC</v>
      </c>
      <c r="Y10" t="b">
        <f ca="1"/>
        <v>0</v>
      </c>
      <c r="Z10" t="b">
        <f ca="1"/>
        <v>0</v>
      </c>
      <c r="AA10" t="b">
        <f ca="1"/>
        <v>0</v>
      </c>
      <c r="AB10" t="b">
        <f ca="1"/>
        <v>0</v>
      </c>
      <c r="AC10" t="b">
        <f ca="1"/>
        <v>0</v>
      </c>
      <c r="AD10" t="str">
        <f ca="1"/>
        <v>N/A</v>
      </c>
      <c r="AE10" t="str">
        <f ca="1"/>
        <v>NOLOC</v>
      </c>
      <c r="AF10" t="b">
        <f ca="1"/>
        <v>0</v>
      </c>
      <c r="AG10" t="b">
        <f ca="1"/>
        <v>0</v>
      </c>
      <c r="AH10" t="b">
        <f ca="1"/>
        <v>0</v>
      </c>
      <c r="AI10" t="b">
        <f ca="1"/>
        <v>0</v>
      </c>
      <c r="AJ10" t="b">
        <f ca="1"/>
        <v>0</v>
      </c>
      <c r="AK10" t="str">
        <f ca="1"/>
        <v>N/A</v>
      </c>
    </row>
    <row r="11" spans="1:37" x14ac:dyDescent="0.25">
      <c r="A11" t="str">
        <f ca="1"/>
        <v>8_22 Skyscraper_1</v>
      </c>
      <c r="B11" t="b">
        <f ca="1"/>
        <v>0</v>
      </c>
      <c r="C11" t="str">
        <f ca="1"/>
        <v>NOLOC</v>
      </c>
      <c r="D11" t="b">
        <f ca="1"/>
        <v>0</v>
      </c>
      <c r="E11" t="b">
        <f ca="1"/>
        <v>0</v>
      </c>
      <c r="F11" t="b">
        <f ca="1"/>
        <v>0</v>
      </c>
      <c r="G11" t="b">
        <f ca="1"/>
        <v>0</v>
      </c>
      <c r="H11" t="b">
        <f ca="1"/>
        <v>0</v>
      </c>
      <c r="I11" t="str">
        <f ca="1"/>
        <v>N/A</v>
      </c>
      <c r="J11" t="str">
        <f ca="1"/>
        <v>NOLOC</v>
      </c>
      <c r="K11" t="b">
        <f ca="1"/>
        <v>0</v>
      </c>
      <c r="L11" t="b">
        <f ca="1"/>
        <v>0</v>
      </c>
      <c r="M11" t="b">
        <f ca="1"/>
        <v>0</v>
      </c>
      <c r="N11" t="b">
        <f ca="1"/>
        <v>0</v>
      </c>
      <c r="O11" t="b">
        <f ca="1"/>
        <v>0</v>
      </c>
      <c r="P11" t="str">
        <f ca="1"/>
        <v>N/A</v>
      </c>
      <c r="Q11" t="str">
        <f ca="1"/>
        <v>NOLOC</v>
      </c>
      <c r="R11" t="b">
        <f ca="1"/>
        <v>0</v>
      </c>
      <c r="S11" t="b">
        <f ca="1"/>
        <v>0</v>
      </c>
      <c r="T11" t="b">
        <f ca="1"/>
        <v>0</v>
      </c>
      <c r="U11" t="b">
        <f ca="1"/>
        <v>0</v>
      </c>
      <c r="V11" t="b">
        <f ca="1"/>
        <v>0</v>
      </c>
      <c r="W11" t="str">
        <f ca="1"/>
        <v>N/A</v>
      </c>
      <c r="X11" t="str">
        <f ca="1"/>
        <v>NOLOC</v>
      </c>
      <c r="Y11" t="b">
        <f ca="1"/>
        <v>0</v>
      </c>
      <c r="Z11" t="b">
        <f ca="1"/>
        <v>0</v>
      </c>
      <c r="AA11" t="b">
        <f ca="1"/>
        <v>0</v>
      </c>
      <c r="AB11" t="b">
        <f ca="1"/>
        <v>0</v>
      </c>
      <c r="AC11" t="b">
        <f ca="1"/>
        <v>0</v>
      </c>
      <c r="AD11" t="str">
        <f ca="1"/>
        <v>N/A</v>
      </c>
      <c r="AE11" t="str">
        <f ca="1"/>
        <v>NOLOC</v>
      </c>
      <c r="AF11" t="b">
        <f ca="1"/>
        <v>0</v>
      </c>
      <c r="AG11" t="b">
        <f ca="1"/>
        <v>0</v>
      </c>
      <c r="AH11" t="b">
        <f ca="1"/>
        <v>0</v>
      </c>
      <c r="AI11" t="b">
        <f ca="1"/>
        <v>0</v>
      </c>
      <c r="AJ11" t="b">
        <f ca="1"/>
        <v>0</v>
      </c>
      <c r="AK11" t="str">
        <f ca="1"/>
        <v>N/A</v>
      </c>
    </row>
    <row r="12" spans="1:37" x14ac:dyDescent="0.25">
      <c r="A12" t="str">
        <f ca="1"/>
        <v>8_22 Skyscraper_1</v>
      </c>
      <c r="B12" t="b">
        <f ca="1"/>
        <v>0</v>
      </c>
      <c r="C12" t="str">
        <f ca="1"/>
        <v>NOLOC</v>
      </c>
      <c r="D12" t="b">
        <f ca="1"/>
        <v>0</v>
      </c>
      <c r="E12" t="b">
        <f ca="1"/>
        <v>0</v>
      </c>
      <c r="F12" t="b">
        <f ca="1"/>
        <v>0</v>
      </c>
      <c r="G12" t="b">
        <f ca="1"/>
        <v>0</v>
      </c>
      <c r="H12" t="b">
        <f ca="1"/>
        <v>0</v>
      </c>
      <c r="I12" t="str">
        <f ca="1"/>
        <v>N/A</v>
      </c>
      <c r="J12" t="str">
        <f ca="1"/>
        <v>NOLOC</v>
      </c>
      <c r="K12" t="b">
        <f ca="1"/>
        <v>0</v>
      </c>
      <c r="L12" t="b">
        <f ca="1"/>
        <v>0</v>
      </c>
      <c r="M12" t="b">
        <f ca="1"/>
        <v>0</v>
      </c>
      <c r="N12" t="b">
        <f ca="1"/>
        <v>0</v>
      </c>
      <c r="O12" t="b">
        <f ca="1"/>
        <v>0</v>
      </c>
      <c r="P12" t="str">
        <f ca="1"/>
        <v>N/A</v>
      </c>
      <c r="Q12" t="str">
        <f ca="1"/>
        <v>NOLOC</v>
      </c>
      <c r="R12" t="b">
        <f ca="1"/>
        <v>0</v>
      </c>
      <c r="S12" t="b">
        <f ca="1"/>
        <v>0</v>
      </c>
      <c r="T12" t="b">
        <f ca="1"/>
        <v>0</v>
      </c>
      <c r="U12" t="b">
        <f ca="1"/>
        <v>0</v>
      </c>
      <c r="V12" t="b">
        <f ca="1"/>
        <v>0</v>
      </c>
      <c r="W12" t="str">
        <f ca="1"/>
        <v>N/A</v>
      </c>
      <c r="X12" t="str">
        <f ca="1"/>
        <v>NOLOC</v>
      </c>
      <c r="Y12" t="b">
        <f ca="1"/>
        <v>0</v>
      </c>
      <c r="Z12" t="b">
        <f ca="1"/>
        <v>0</v>
      </c>
      <c r="AA12" t="b">
        <f ca="1"/>
        <v>0</v>
      </c>
      <c r="AB12" t="b">
        <f ca="1"/>
        <v>0</v>
      </c>
      <c r="AC12" t="b">
        <f ca="1"/>
        <v>0</v>
      </c>
      <c r="AD12" t="str">
        <f ca="1"/>
        <v>N/A</v>
      </c>
      <c r="AE12" t="str">
        <f ca="1"/>
        <v>NOLOC</v>
      </c>
      <c r="AF12" t="b">
        <f ca="1"/>
        <v>0</v>
      </c>
      <c r="AG12" t="b">
        <f ca="1"/>
        <v>0</v>
      </c>
      <c r="AH12" t="b">
        <f ca="1"/>
        <v>0</v>
      </c>
      <c r="AI12" t="b">
        <f ca="1"/>
        <v>0</v>
      </c>
      <c r="AJ12" t="b">
        <f ca="1"/>
        <v>0</v>
      </c>
      <c r="AK12" t="str">
        <f ca="1"/>
        <v>N/A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C0FF-483C-47B9-8C31-3DD0BDB07F61}">
  <sheetPr codeName="Sheet13"/>
  <dimension ref="A1:BQ12"/>
  <sheetViews>
    <sheetView zoomScale="40" zoomScaleNormal="40" workbookViewId="0">
      <selection sqref="A1:BQ1"/>
    </sheetView>
  </sheetViews>
  <sheetFormatPr defaultRowHeight="15" x14ac:dyDescent="0.25"/>
  <sheetData>
    <row r="1" spans="1:69" x14ac:dyDescent="0.25">
      <c r="A1" s="48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0" t="s">
        <v>62</v>
      </c>
      <c r="H1" s="50" t="s">
        <v>219</v>
      </c>
      <c r="I1" s="50" t="s">
        <v>220</v>
      </c>
      <c r="J1" s="50" t="s">
        <v>221</v>
      </c>
      <c r="K1" s="50" t="s">
        <v>245</v>
      </c>
      <c r="L1" s="50" t="s">
        <v>257</v>
      </c>
      <c r="M1" s="50" t="s">
        <v>258</v>
      </c>
      <c r="N1" s="51" t="s">
        <v>405</v>
      </c>
      <c r="O1" s="50" t="s">
        <v>9</v>
      </c>
      <c r="P1" s="50" t="s">
        <v>222</v>
      </c>
      <c r="Q1" s="50" t="s">
        <v>223</v>
      </c>
      <c r="R1" s="50" t="s">
        <v>246</v>
      </c>
      <c r="S1" s="50" t="s">
        <v>259</v>
      </c>
      <c r="T1" s="50" t="s">
        <v>260</v>
      </c>
      <c r="U1" s="51" t="s">
        <v>406</v>
      </c>
      <c r="V1" s="21" t="s">
        <v>324</v>
      </c>
      <c r="W1" s="50" t="s">
        <v>33</v>
      </c>
      <c r="X1" s="50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423</v>
      </c>
      <c r="AI1" s="21" t="s">
        <v>313</v>
      </c>
      <c r="AJ1" s="21" t="s">
        <v>314</v>
      </c>
      <c r="AK1" s="21" t="s">
        <v>422</v>
      </c>
      <c r="AL1" s="21" t="s">
        <v>421</v>
      </c>
      <c r="AM1" s="21" t="s">
        <v>420</v>
      </c>
      <c r="AN1" s="13" t="s">
        <v>63</v>
      </c>
      <c r="AO1" s="13" t="s">
        <v>419</v>
      </c>
      <c r="AP1" s="13" t="s">
        <v>315</v>
      </c>
      <c r="AQ1" s="13" t="s">
        <v>316</v>
      </c>
      <c r="AR1" s="13" t="s">
        <v>418</v>
      </c>
      <c r="AS1" s="13" t="s">
        <v>417</v>
      </c>
      <c r="AT1" s="13" t="s">
        <v>416</v>
      </c>
      <c r="AU1" s="21" t="s">
        <v>64</v>
      </c>
      <c r="AV1" s="21" t="s">
        <v>415</v>
      </c>
      <c r="AW1" s="21" t="s">
        <v>317</v>
      </c>
      <c r="AX1" s="21" t="s">
        <v>318</v>
      </c>
      <c r="AY1" s="21" t="s">
        <v>414</v>
      </c>
      <c r="AZ1" s="21" t="s">
        <v>413</v>
      </c>
      <c r="BA1" s="21" t="s">
        <v>412</v>
      </c>
      <c r="BB1" s="13" t="s">
        <v>65</v>
      </c>
      <c r="BC1" s="13" t="s">
        <v>411</v>
      </c>
      <c r="BD1" s="13" t="s">
        <v>319</v>
      </c>
      <c r="BE1" s="13" t="s">
        <v>320</v>
      </c>
      <c r="BF1" s="13" t="s">
        <v>409</v>
      </c>
      <c r="BG1" s="13" t="s">
        <v>408</v>
      </c>
      <c r="BH1" s="13" t="s">
        <v>410</v>
      </c>
      <c r="BI1" s="16" t="s">
        <v>407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2" ca="1">pulloverall(REF!A10:A18,REF!A2,REF!A2:A7,REF!B2)</f>
        <v>8_22 Skyscraper_1</v>
      </c>
      <c r="B2">
        <f ca="1"/>
        <v>1</v>
      </c>
      <c r="C2" t="str">
        <f ca="1"/>
        <v>Attack</v>
      </c>
      <c r="D2" t="str">
        <f ca="1"/>
        <v>Candle</v>
      </c>
      <c r="E2" t="str">
        <f ca="1"/>
        <v>Nokk</v>
      </c>
      <c r="F2">
        <f ca="1"/>
        <v>89</v>
      </c>
      <c r="G2" t="str">
        <f ca="1"/>
        <v>Kouiyn</v>
      </c>
      <c r="H2" t="b">
        <f ca="1"/>
        <v>0</v>
      </c>
      <c r="I2" t="b">
        <f ca="1"/>
        <v>1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1</v>
      </c>
      <c r="N2">
        <f ca="1"/>
        <v>1</v>
      </c>
      <c r="O2">
        <f ca="1"/>
        <v>3</v>
      </c>
      <c r="P2">
        <f ca="1"/>
        <v>2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UNKNOWN</v>
      </c>
      <c r="AO2" t="b">
        <f ca="1"/>
        <v>0</v>
      </c>
      <c r="AP2" t="str">
        <f ca="1"/>
        <v>Kouiyn</v>
      </c>
      <c r="AQ2">
        <f ca="1"/>
        <v>116</v>
      </c>
      <c r="AR2" t="b">
        <f ca="1"/>
        <v>0</v>
      </c>
      <c r="AS2" t="b">
        <f ca="1"/>
        <v>0</v>
      </c>
      <c r="AT2" t="b">
        <f ca="1"/>
        <v>0</v>
      </c>
      <c r="AU2" t="str">
        <f ca="1"/>
        <v>UNKNOWN</v>
      </c>
      <c r="AV2" t="b">
        <f ca="1"/>
        <v>0</v>
      </c>
      <c r="AW2" t="str">
        <f ca="1"/>
        <v>Rival</v>
      </c>
      <c r="AX2">
        <f ca="1"/>
        <v>149</v>
      </c>
      <c r="AY2" t="b">
        <f ca="1"/>
        <v>0</v>
      </c>
      <c r="AZ2" t="b">
        <f ca="1"/>
        <v>1</v>
      </c>
      <c r="BA2" t="b">
        <f ca="1"/>
        <v>0</v>
      </c>
      <c r="BB2" t="str">
        <f ca="1"/>
        <v>UNKNOWN</v>
      </c>
      <c r="BC2" t="b">
        <f ca="1"/>
        <v>0</v>
      </c>
      <c r="BD2" t="str">
        <f ca="1"/>
        <v>Kiru</v>
      </c>
      <c r="BE2">
        <f ca="1"/>
        <v>151</v>
      </c>
      <c r="BF2" t="b">
        <f ca="1"/>
        <v>0</v>
      </c>
      <c r="BG2" t="b">
        <f ca="1"/>
        <v>1</v>
      </c>
      <c r="BH2" t="b">
        <f ca="1"/>
        <v>0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8_22 Skyscraper_1</v>
      </c>
      <c r="B3">
        <f ca="1"/>
        <v>2</v>
      </c>
      <c r="C3" t="str">
        <f ca="1"/>
        <v>Attack</v>
      </c>
      <c r="D3" t="str">
        <f ca="1"/>
        <v>Candle</v>
      </c>
      <c r="E3" t="str">
        <f ca="1"/>
        <v>Twitch</v>
      </c>
      <c r="F3">
        <f ca="1"/>
        <v>159</v>
      </c>
      <c r="G3" t="str">
        <f ca="1"/>
        <v>Rival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1</v>
      </c>
      <c r="N3">
        <f ca="1"/>
        <v>2</v>
      </c>
      <c r="O3">
        <f ca="1"/>
        <v>2</v>
      </c>
      <c r="P3">
        <f ca="1"/>
        <v>1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UNKNOWN</v>
      </c>
      <c r="AO3" t="b">
        <f ca="1"/>
        <v>0</v>
      </c>
      <c r="AP3" t="str">
        <f ca="1"/>
        <v>Floofs</v>
      </c>
      <c r="AQ3">
        <f ca="1"/>
        <v>141</v>
      </c>
      <c r="AR3" t="b">
        <f ca="1"/>
        <v>0</v>
      </c>
      <c r="AS3" t="b">
        <f ca="1"/>
        <v>1</v>
      </c>
      <c r="AT3" t="b">
        <f ca="1"/>
        <v>0</v>
      </c>
      <c r="AU3" t="str">
        <f ca="1"/>
        <v>UNKNOWN</v>
      </c>
      <c r="AV3" t="b">
        <f ca="1"/>
        <v>0</v>
      </c>
      <c r="AW3" t="str">
        <f ca="1"/>
        <v>Kouiyn</v>
      </c>
      <c r="AX3">
        <f ca="1"/>
        <v>144</v>
      </c>
      <c r="AY3" t="b">
        <f ca="1"/>
        <v>0</v>
      </c>
      <c r="AZ3" t="b">
        <f ca="1"/>
        <v>0</v>
      </c>
      <c r="BA3" t="b">
        <f ca="1"/>
        <v>0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8_22 Skyscraper_1</v>
      </c>
      <c r="B4">
        <f ca="1"/>
        <v>3</v>
      </c>
      <c r="C4" t="str">
        <f ca="1"/>
        <v>Attack</v>
      </c>
      <c r="D4" t="str">
        <f ca="1"/>
        <v>Candle</v>
      </c>
      <c r="E4" t="str">
        <f ca="1"/>
        <v>Zofia</v>
      </c>
      <c r="F4">
        <f ca="1"/>
        <v>123</v>
      </c>
      <c r="G4" t="str">
        <f ca="1"/>
        <v>Snipey</v>
      </c>
      <c r="H4" t="b">
        <f ca="1"/>
        <v>0</v>
      </c>
      <c r="I4" t="b">
        <f ca="1"/>
        <v>0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0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  <row r="5" spans="1:69" x14ac:dyDescent="0.25">
      <c r="A5" t="str">
        <f ca="1"/>
        <v>8_22 Skyscraper_1</v>
      </c>
      <c r="B5">
        <f ca="1"/>
        <v>4</v>
      </c>
      <c r="C5" t="str">
        <f ca="1"/>
        <v>Attack</v>
      </c>
      <c r="D5" t="str">
        <f ca="1"/>
        <v>Candle</v>
      </c>
      <c r="E5" t="str">
        <f ca="1"/>
        <v>Twitch</v>
      </c>
      <c r="F5" t="b">
        <f ca="1"/>
        <v>0</v>
      </c>
      <c r="G5" t="b">
        <f ca="1"/>
        <v>0</v>
      </c>
      <c r="H5" t="str">
        <f ca="1"/>
        <v>N/A</v>
      </c>
      <c r="I5" t="str">
        <f ca="1"/>
        <v>N/A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3</v>
      </c>
      <c r="P5">
        <f ca="1"/>
        <v>1</v>
      </c>
      <c r="Q5">
        <f ca="1"/>
        <v>1</v>
      </c>
      <c r="R5">
        <f ca="1"/>
        <v>0</v>
      </c>
      <c r="S5" t="b">
        <f ca="1"/>
        <v>0</v>
      </c>
      <c r="T5" t="b">
        <f ca="1"/>
        <v>1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UNKNOWN</v>
      </c>
      <c r="AA5" t="b">
        <f ca="1"/>
        <v>1</v>
      </c>
      <c r="AB5" t="str">
        <f ca="1"/>
        <v>Rival</v>
      </c>
      <c r="AC5">
        <f ca="1"/>
        <v>109</v>
      </c>
      <c r="AD5" t="b">
        <f ca="1"/>
        <v>0</v>
      </c>
      <c r="AE5" t="b">
        <f ca="1"/>
        <v>0</v>
      </c>
      <c r="AF5" t="b">
        <f ca="1"/>
        <v>0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UNKNOWN</v>
      </c>
      <c r="AO5" t="b">
        <f ca="1"/>
        <v>0</v>
      </c>
      <c r="AP5" t="str">
        <f ca="1"/>
        <v>Floofs</v>
      </c>
      <c r="AQ5">
        <f ca="1"/>
        <v>132</v>
      </c>
      <c r="AR5" t="b">
        <f ca="1"/>
        <v>0</v>
      </c>
      <c r="AS5" t="b">
        <f ca="1"/>
        <v>1</v>
      </c>
      <c r="AT5" t="b">
        <f ca="1"/>
        <v>0</v>
      </c>
      <c r="AU5" t="str">
        <f ca="1"/>
        <v>UNKNOWN</v>
      </c>
      <c r="AV5" t="b">
        <f ca="1"/>
        <v>0</v>
      </c>
      <c r="AW5" t="str">
        <f ca="1"/>
        <v>Snipey</v>
      </c>
      <c r="AX5">
        <f ca="1"/>
        <v>149</v>
      </c>
      <c r="AY5" t="b">
        <f ca="1"/>
        <v>0</v>
      </c>
      <c r="AZ5" t="b">
        <f ca="1"/>
        <v>0</v>
      </c>
      <c r="BA5" t="b">
        <f ca="1"/>
        <v>0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b">
        <f ca="1"/>
        <v>0</v>
      </c>
      <c r="BQ5" t="b">
        <f ca="1"/>
        <v>0</v>
      </c>
    </row>
    <row r="6" spans="1:69" x14ac:dyDescent="0.25">
      <c r="A6" t="str">
        <f ca="1"/>
        <v>8_22 Skyscraper_1</v>
      </c>
      <c r="B6">
        <f ca="1"/>
        <v>5</v>
      </c>
      <c r="C6" t="str">
        <f ca="1"/>
        <v>Attack</v>
      </c>
      <c r="D6" t="str">
        <f ca="1"/>
        <v>Candle</v>
      </c>
      <c r="E6" t="str">
        <f ca="1"/>
        <v>Twitch</v>
      </c>
      <c r="F6">
        <f ca="1"/>
        <v>41</v>
      </c>
      <c r="G6" t="str">
        <f ca="1"/>
        <v>Kiru</v>
      </c>
      <c r="H6" t="b">
        <f ca="1"/>
        <v>0</v>
      </c>
      <c r="I6" t="b">
        <f ca="1"/>
        <v>0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0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b">
        <f ca="1"/>
        <v>0</v>
      </c>
      <c r="BQ6" t="b">
        <f ca="1"/>
        <v>0</v>
      </c>
    </row>
    <row r="7" spans="1:69" x14ac:dyDescent="0.25">
      <c r="A7" t="str">
        <f ca="1"/>
        <v>8_22 Skyscraper_1</v>
      </c>
      <c r="B7">
        <f ca="1"/>
        <v>6</v>
      </c>
      <c r="C7" t="str">
        <f ca="1"/>
        <v>Attack</v>
      </c>
      <c r="D7" t="str">
        <f ca="1"/>
        <v>Candle</v>
      </c>
      <c r="E7" t="str">
        <f ca="1"/>
        <v>Sledge</v>
      </c>
      <c r="F7">
        <f ca="1"/>
        <v>177</v>
      </c>
      <c r="G7" t="str">
        <f ca="1"/>
        <v>Floofs</v>
      </c>
      <c r="H7" t="b">
        <f ca="1"/>
        <v>0</v>
      </c>
      <c r="I7" t="b">
        <f ca="1"/>
        <v>0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1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UNKNOWN</v>
      </c>
      <c r="AV7" t="b">
        <f ca="1"/>
        <v>0</v>
      </c>
      <c r="AW7" t="str">
        <f ca="1"/>
        <v>Kiru</v>
      </c>
      <c r="AX7">
        <f ca="1"/>
        <v>139</v>
      </c>
      <c r="AY7" t="b">
        <f ca="1"/>
        <v>0</v>
      </c>
      <c r="AZ7" t="b">
        <f ca="1"/>
        <v>0</v>
      </c>
      <c r="BA7" t="b">
        <f ca="1"/>
        <v>0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b">
        <f ca="1"/>
        <v>0</v>
      </c>
      <c r="BQ7" t="b">
        <f ca="1"/>
        <v>0</v>
      </c>
    </row>
    <row r="8" spans="1:69" x14ac:dyDescent="0.25">
      <c r="A8" t="str">
        <f ca="1"/>
        <v>8_22 Skyscraper_1</v>
      </c>
      <c r="B8">
        <f ca="1"/>
        <v>7</v>
      </c>
      <c r="C8" t="str">
        <f ca="1"/>
        <v>Defense</v>
      </c>
      <c r="D8" t="str">
        <f ca="1"/>
        <v>Candle</v>
      </c>
      <c r="E8" t="str">
        <f ca="1"/>
        <v>Lesion</v>
      </c>
      <c r="F8">
        <f ca="1"/>
        <v>147</v>
      </c>
      <c r="G8" t="str">
        <f ca="1"/>
        <v>Kiru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0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str">
        <f ca="1"/>
        <v/>
      </c>
      <c r="BQ8" t="str">
        <f ca="1"/>
        <v/>
      </c>
    </row>
    <row r="9" spans="1:69" x14ac:dyDescent="0.25">
      <c r="A9" t="str">
        <f ca="1"/>
        <v>8_22 Skyscraper_1</v>
      </c>
      <c r="B9">
        <f ca="1"/>
        <v>8</v>
      </c>
      <c r="C9" t="str">
        <f ca="1"/>
        <v>Defense</v>
      </c>
      <c r="D9" t="str">
        <f ca="1"/>
        <v>Candle</v>
      </c>
      <c r="E9" t="str">
        <f ca="1"/>
        <v>Kaid</v>
      </c>
      <c r="F9" t="b">
        <f ca="1"/>
        <v>0</v>
      </c>
      <c r="G9" t="b">
        <f ca="1"/>
        <v>0</v>
      </c>
      <c r="H9" t="str">
        <f ca="1"/>
        <v>N/A</v>
      </c>
      <c r="I9" t="str">
        <f ca="1"/>
        <v>N/A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1</v>
      </c>
      <c r="P9">
        <f ca="1"/>
        <v>1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UNKNOWN</v>
      </c>
      <c r="AO9" t="b">
        <f ca="1"/>
        <v>0</v>
      </c>
      <c r="AP9" t="str">
        <f ca="1"/>
        <v>Floofs</v>
      </c>
      <c r="AQ9">
        <f ca="1"/>
        <v>72</v>
      </c>
      <c r="AR9" t="b">
        <f ca="1"/>
        <v>0</v>
      </c>
      <c r="AS9" t="b">
        <f ca="1"/>
        <v>1</v>
      </c>
      <c r="AT9" t="b">
        <f ca="1"/>
        <v>0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str">
        <f ca="1"/>
        <v/>
      </c>
      <c r="BQ9" t="str">
        <f ca="1"/>
        <v/>
      </c>
    </row>
    <row r="10" spans="1:69" x14ac:dyDescent="0.25">
      <c r="A10" t="str">
        <f ca="1"/>
        <v>8_22 Skyscraper_1</v>
      </c>
      <c r="B10">
        <f ca="1"/>
        <v>9</v>
      </c>
      <c r="C10" t="str">
        <f ca="1"/>
        <v>Defense</v>
      </c>
      <c r="D10" t="str">
        <f ca="1"/>
        <v>Candle</v>
      </c>
      <c r="E10" t="str">
        <f ca="1"/>
        <v>Lesion</v>
      </c>
      <c r="F10">
        <f ca="1"/>
        <v>152</v>
      </c>
      <c r="G10" t="str">
        <f ca="1"/>
        <v>Snipey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str">
        <f ca="1"/>
        <v/>
      </c>
      <c r="BQ10" t="str">
        <f ca="1"/>
        <v/>
      </c>
    </row>
    <row r="11" spans="1:69" x14ac:dyDescent="0.25">
      <c r="A11" t="str">
        <f ca="1"/>
        <v>8_22 Skyscraper_1</v>
      </c>
      <c r="B11">
        <f ca="1"/>
        <v>10</v>
      </c>
      <c r="C11" t="str">
        <f ca="1"/>
        <v>Defense</v>
      </c>
      <c r="D11" t="str">
        <f ca="1"/>
        <v>Candle</v>
      </c>
      <c r="E11" t="str">
        <f ca="1"/>
        <v>Lesion</v>
      </c>
      <c r="F11" t="b">
        <f ca="1"/>
        <v>0</v>
      </c>
      <c r="G11" t="b">
        <f ca="1"/>
        <v>0</v>
      </c>
      <c r="H11" t="str">
        <f ca="1"/>
        <v>N/A</v>
      </c>
      <c r="I11" t="str">
        <f ca="1"/>
        <v>N/A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1</v>
      </c>
      <c r="P11">
        <f ca="1"/>
        <v>1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UNKNOWN</v>
      </c>
      <c r="AH11" t="b">
        <f ca="1"/>
        <v>0</v>
      </c>
      <c r="AI11" t="str">
        <f ca="1"/>
        <v>Snipey</v>
      </c>
      <c r="AJ11">
        <f ca="1"/>
        <v>46</v>
      </c>
      <c r="AK11" t="b">
        <f ca="1"/>
        <v>0</v>
      </c>
      <c r="AL11" t="b">
        <f ca="1"/>
        <v>1</v>
      </c>
      <c r="AM11" t="b">
        <f ca="1"/>
        <v>0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str">
        <f ca="1"/>
        <v/>
      </c>
      <c r="BQ11" t="str">
        <f ca="1"/>
        <v/>
      </c>
    </row>
    <row r="12" spans="1:69" x14ac:dyDescent="0.25">
      <c r="A12" t="str">
        <f ca="1"/>
        <v>8_22 Skyscraper_1</v>
      </c>
      <c r="B12">
        <f ca="1"/>
        <v>11</v>
      </c>
      <c r="C12" t="str">
        <f ca="1"/>
        <v>Defense</v>
      </c>
      <c r="D12" t="str">
        <f ca="1"/>
        <v>Candle</v>
      </c>
      <c r="E12" t="str">
        <f ca="1"/>
        <v>Jager</v>
      </c>
      <c r="F12">
        <f ca="1"/>
        <v>55</v>
      </c>
      <c r="G12" t="str">
        <f ca="1"/>
        <v>Kouiyn</v>
      </c>
      <c r="H12" t="b">
        <f ca="1"/>
        <v>0</v>
      </c>
      <c r="I12" t="b">
        <f ca="1"/>
        <v>1</v>
      </c>
      <c r="J12" t="b">
        <f ca="1"/>
        <v>0</v>
      </c>
      <c r="K12" t="str">
        <f ca="1"/>
        <v>NOLOC</v>
      </c>
      <c r="L12" t="b">
        <f ca="1"/>
        <v>1</v>
      </c>
      <c r="M12" t="b">
        <f ca="1"/>
        <v>1</v>
      </c>
      <c r="N12">
        <f ca="1"/>
        <v>11</v>
      </c>
      <c r="O12">
        <f ca="1"/>
        <v>2</v>
      </c>
      <c r="P12">
        <f ca="1"/>
        <v>2</v>
      </c>
      <c r="Q12">
        <f ca="1"/>
        <v>0</v>
      </c>
      <c r="R12">
        <f ca="1"/>
        <v>0</v>
      </c>
      <c r="S12" t="b">
        <f ca="1"/>
        <v>0</v>
      </c>
      <c r="T12" t="b">
        <f ca="1"/>
        <v>1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UNKNOWN</v>
      </c>
      <c r="AA12" t="b">
        <f ca="1"/>
        <v>0</v>
      </c>
      <c r="AB12" t="str">
        <f ca="1"/>
        <v>Kiru</v>
      </c>
      <c r="AC12">
        <f ca="1"/>
        <v>72</v>
      </c>
      <c r="AD12" t="b">
        <f ca="1"/>
        <v>0</v>
      </c>
      <c r="AE12" t="b">
        <f ca="1"/>
        <v>1</v>
      </c>
      <c r="AF12" t="b">
        <f ca="1"/>
        <v>0</v>
      </c>
      <c r="AG12" t="str">
        <f ca="1"/>
        <v>UNKNOWN</v>
      </c>
      <c r="AH12" t="b">
        <f ca="1"/>
        <v>0</v>
      </c>
      <c r="AI12" t="str">
        <f ca="1"/>
        <v>Snipey</v>
      </c>
      <c r="AJ12">
        <f ca="1"/>
        <v>74</v>
      </c>
      <c r="AK12" t="b">
        <f ca="1"/>
        <v>0</v>
      </c>
      <c r="AL12" t="b">
        <f ca="1"/>
        <v>1</v>
      </c>
      <c r="AM12" t="b">
        <f ca="1"/>
        <v>0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str">
        <f ca="1"/>
        <v/>
      </c>
      <c r="BQ12" t="str">
        <f ca="1"/>
        <v/>
      </c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4DC3F-477A-47E8-A609-59E1A09CAC5B}">
  <sheetPr codeName="Sheet14"/>
  <dimension ref="A1:BQ12"/>
  <sheetViews>
    <sheetView zoomScale="40" zoomScaleNormal="40" workbookViewId="0">
      <selection sqref="A1:BQ1"/>
    </sheetView>
  </sheetViews>
  <sheetFormatPr defaultRowHeight="15" x14ac:dyDescent="0.25"/>
  <sheetData>
    <row r="1" spans="1:69" x14ac:dyDescent="0.25">
      <c r="A1" s="48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0" t="s">
        <v>62</v>
      </c>
      <c r="H1" s="50" t="s">
        <v>219</v>
      </c>
      <c r="I1" s="50" t="s">
        <v>220</v>
      </c>
      <c r="J1" s="50" t="s">
        <v>221</v>
      </c>
      <c r="K1" s="50" t="s">
        <v>245</v>
      </c>
      <c r="L1" s="50" t="s">
        <v>257</v>
      </c>
      <c r="M1" s="50" t="s">
        <v>258</v>
      </c>
      <c r="N1" s="51" t="s">
        <v>405</v>
      </c>
      <c r="O1" s="50" t="s">
        <v>9</v>
      </c>
      <c r="P1" s="50" t="s">
        <v>222</v>
      </c>
      <c r="Q1" s="50" t="s">
        <v>223</v>
      </c>
      <c r="R1" s="50" t="s">
        <v>246</v>
      </c>
      <c r="S1" s="50" t="s">
        <v>259</v>
      </c>
      <c r="T1" s="50" t="s">
        <v>260</v>
      </c>
      <c r="U1" s="51" t="s">
        <v>406</v>
      </c>
      <c r="V1" s="21" t="s">
        <v>324</v>
      </c>
      <c r="W1" s="50" t="s">
        <v>33</v>
      </c>
      <c r="X1" s="50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423</v>
      </c>
      <c r="AI1" s="21" t="s">
        <v>313</v>
      </c>
      <c r="AJ1" s="21" t="s">
        <v>314</v>
      </c>
      <c r="AK1" s="21" t="s">
        <v>422</v>
      </c>
      <c r="AL1" s="21" t="s">
        <v>421</v>
      </c>
      <c r="AM1" s="21" t="s">
        <v>420</v>
      </c>
      <c r="AN1" s="13" t="s">
        <v>63</v>
      </c>
      <c r="AO1" s="13" t="s">
        <v>419</v>
      </c>
      <c r="AP1" s="13" t="s">
        <v>315</v>
      </c>
      <c r="AQ1" s="13" t="s">
        <v>316</v>
      </c>
      <c r="AR1" s="13" t="s">
        <v>418</v>
      </c>
      <c r="AS1" s="13" t="s">
        <v>417</v>
      </c>
      <c r="AT1" s="13" t="s">
        <v>416</v>
      </c>
      <c r="AU1" s="21" t="s">
        <v>64</v>
      </c>
      <c r="AV1" s="21" t="s">
        <v>415</v>
      </c>
      <c r="AW1" s="21" t="s">
        <v>317</v>
      </c>
      <c r="AX1" s="21" t="s">
        <v>318</v>
      </c>
      <c r="AY1" s="21" t="s">
        <v>414</v>
      </c>
      <c r="AZ1" s="21" t="s">
        <v>413</v>
      </c>
      <c r="BA1" s="21" t="s">
        <v>412</v>
      </c>
      <c r="BB1" s="13" t="s">
        <v>65</v>
      </c>
      <c r="BC1" s="13" t="s">
        <v>411</v>
      </c>
      <c r="BD1" s="13" t="s">
        <v>319</v>
      </c>
      <c r="BE1" s="13" t="s">
        <v>320</v>
      </c>
      <c r="BF1" s="13" t="s">
        <v>409</v>
      </c>
      <c r="BG1" s="13" t="s">
        <v>408</v>
      </c>
      <c r="BH1" s="13" t="s">
        <v>410</v>
      </c>
      <c r="BI1" s="16" t="s">
        <v>407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2" ca="1">pulloverall(REF!A10:A18,REF!A3,REF!A2:A7,REF!B2)</f>
        <v>8_22 Skyscraper_1</v>
      </c>
      <c r="B2">
        <f ca="1"/>
        <v>1</v>
      </c>
      <c r="C2" t="str">
        <f ca="1"/>
        <v>Attack</v>
      </c>
      <c r="D2" t="str">
        <f ca="1"/>
        <v>Chos3n</v>
      </c>
      <c r="E2" t="str">
        <f ca="1"/>
        <v>Montagne</v>
      </c>
      <c r="F2">
        <f ca="1"/>
        <v>116</v>
      </c>
      <c r="G2" t="str">
        <f ca="1"/>
        <v>Kouiyn</v>
      </c>
      <c r="H2" t="b">
        <f ca="1"/>
        <v>0</v>
      </c>
      <c r="I2" t="b">
        <f ca="1"/>
        <v>0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0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0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8_22 Skyscraper_1</v>
      </c>
      <c r="B3">
        <f ca="1"/>
        <v>2</v>
      </c>
      <c r="C3" t="str">
        <f ca="1"/>
        <v>Attack</v>
      </c>
      <c r="D3" t="str">
        <f ca="1"/>
        <v>Chos3n</v>
      </c>
      <c r="E3" t="str">
        <f ca="1"/>
        <v>Ace</v>
      </c>
      <c r="F3" t="b">
        <f ca="1"/>
        <v>0</v>
      </c>
      <c r="G3" t="b">
        <f ca="1"/>
        <v>0</v>
      </c>
      <c r="H3" t="str">
        <f ca="1"/>
        <v>N/A</v>
      </c>
      <c r="I3" t="str">
        <f ca="1"/>
        <v>N/A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1</v>
      </c>
      <c r="P3">
        <f ca="1"/>
        <v>1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1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UNKNOWN</v>
      </c>
      <c r="BC3" t="b">
        <f ca="1"/>
        <v>0</v>
      </c>
      <c r="BD3" t="str">
        <f ca="1"/>
        <v>Rival</v>
      </c>
      <c r="BE3">
        <f ca="1"/>
        <v>144</v>
      </c>
      <c r="BF3" t="b">
        <f ca="1"/>
        <v>0</v>
      </c>
      <c r="BG3" t="b">
        <f ca="1"/>
        <v>1</v>
      </c>
      <c r="BH3" t="b">
        <f ca="1"/>
        <v>0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8_22 Skyscraper_1</v>
      </c>
      <c r="B4">
        <f ca="1"/>
        <v>3</v>
      </c>
      <c r="C4" t="str">
        <f ca="1"/>
        <v>Attack</v>
      </c>
      <c r="D4" t="str">
        <f ca="1"/>
        <v>Chos3n</v>
      </c>
      <c r="E4" t="str">
        <f ca="1"/>
        <v>Montagne</v>
      </c>
      <c r="F4">
        <f ca="1"/>
        <v>161</v>
      </c>
      <c r="G4" t="str">
        <f ca="1"/>
        <v>Snipey</v>
      </c>
      <c r="H4" t="b">
        <f ca="1"/>
        <v>0</v>
      </c>
      <c r="I4" t="b">
        <f ca="1"/>
        <v>0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1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1</v>
      </c>
      <c r="U4">
        <f ca="1"/>
        <v>3</v>
      </c>
      <c r="V4" t="b">
        <f ca="1"/>
        <v>0</v>
      </c>
      <c r="W4" t="b">
        <f ca="1"/>
        <v>1</v>
      </c>
      <c r="X4" t="b">
        <f ca="1"/>
        <v>1</v>
      </c>
      <c r="Y4" t="b">
        <f ca="1"/>
        <v>0</v>
      </c>
      <c r="Z4" t="str">
        <f ca="1"/>
        <v>UNKNOWN</v>
      </c>
      <c r="AA4" t="b">
        <f ca="1"/>
        <v>0</v>
      </c>
      <c r="AB4" t="str">
        <f ca="1"/>
        <v>Kiru</v>
      </c>
      <c r="AC4">
        <f ca="1"/>
        <v>144</v>
      </c>
      <c r="AD4" t="b">
        <f ca="1"/>
        <v>0</v>
      </c>
      <c r="AE4" t="b">
        <f ca="1"/>
        <v>0</v>
      </c>
      <c r="AF4" t="b">
        <f ca="1"/>
        <v>0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  <row r="5" spans="1:69" x14ac:dyDescent="0.25">
      <c r="A5" t="str">
        <f ca="1"/>
        <v>8_22 Skyscraper_1</v>
      </c>
      <c r="B5">
        <f ca="1"/>
        <v>4</v>
      </c>
      <c r="C5" t="str">
        <f ca="1"/>
        <v>Attack</v>
      </c>
      <c r="D5" t="str">
        <f ca="1"/>
        <v>Chos3n</v>
      </c>
      <c r="E5" t="str">
        <f ca="1"/>
        <v>Ace</v>
      </c>
      <c r="F5" t="b">
        <f ca="1"/>
        <v>0</v>
      </c>
      <c r="G5" t="b">
        <f ca="1"/>
        <v>0</v>
      </c>
      <c r="H5" t="str">
        <f ca="1"/>
        <v>N/A</v>
      </c>
      <c r="I5" t="str">
        <f ca="1"/>
        <v>N/A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b">
        <f ca="1"/>
        <v>0</v>
      </c>
      <c r="BQ5" t="b">
        <f ca="1"/>
        <v>0</v>
      </c>
    </row>
    <row r="6" spans="1:69" x14ac:dyDescent="0.25">
      <c r="A6" t="str">
        <f ca="1"/>
        <v>8_22 Skyscraper_1</v>
      </c>
      <c r="B6">
        <f ca="1"/>
        <v>5</v>
      </c>
      <c r="C6" t="str">
        <f ca="1"/>
        <v>Attack</v>
      </c>
      <c r="D6" t="str">
        <f ca="1"/>
        <v>Chos3n</v>
      </c>
      <c r="E6" t="str">
        <f ca="1"/>
        <v>Ace</v>
      </c>
      <c r="F6">
        <f ca="1"/>
        <v>120</v>
      </c>
      <c r="G6" t="str">
        <f ca="1"/>
        <v>Snipey</v>
      </c>
      <c r="H6" t="b">
        <f ca="1"/>
        <v>0</v>
      </c>
      <c r="I6" t="b">
        <f ca="1"/>
        <v>0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0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b">
        <f ca="1"/>
        <v>0</v>
      </c>
      <c r="BQ6" t="b">
        <f ca="1"/>
        <v>0</v>
      </c>
    </row>
    <row r="7" spans="1:69" x14ac:dyDescent="0.25">
      <c r="A7" t="str">
        <f ca="1"/>
        <v>8_22 Skyscraper_1</v>
      </c>
      <c r="B7">
        <f ca="1"/>
        <v>6</v>
      </c>
      <c r="C7" t="str">
        <f ca="1"/>
        <v>Attack</v>
      </c>
      <c r="D7" t="str">
        <f ca="1"/>
        <v>Chos3n</v>
      </c>
      <c r="E7" t="str">
        <f ca="1"/>
        <v>Ace</v>
      </c>
      <c r="F7" t="b">
        <f ca="1"/>
        <v>0</v>
      </c>
      <c r="G7" t="b">
        <f ca="1"/>
        <v>0</v>
      </c>
      <c r="H7" t="str">
        <f ca="1"/>
        <v>N/A</v>
      </c>
      <c r="I7" t="str">
        <f ca="1"/>
        <v>N/A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1</v>
      </c>
      <c r="P7">
        <f ca="1"/>
        <v>1</v>
      </c>
      <c r="Q7">
        <f ca="1"/>
        <v>0</v>
      </c>
      <c r="R7">
        <f ca="1"/>
        <v>0</v>
      </c>
      <c r="S7" t="b">
        <f ca="1"/>
        <v>1</v>
      </c>
      <c r="T7" t="b">
        <f ca="1"/>
        <v>1</v>
      </c>
      <c r="U7">
        <f ca="1"/>
        <v>6</v>
      </c>
      <c r="V7" t="b">
        <f ca="1"/>
        <v>0</v>
      </c>
      <c r="W7" t="b">
        <f ca="1"/>
        <v>1</v>
      </c>
      <c r="X7" t="b">
        <f ca="1"/>
        <v>1</v>
      </c>
      <c r="Y7" t="b">
        <f ca="1"/>
        <v>0</v>
      </c>
      <c r="Z7" t="str">
        <f ca="1"/>
        <v>UNKNOWN</v>
      </c>
      <c r="AA7" t="b">
        <f ca="1"/>
        <v>0</v>
      </c>
      <c r="AB7" t="str">
        <f ca="1"/>
        <v>Rival</v>
      </c>
      <c r="AC7">
        <f ca="1"/>
        <v>77</v>
      </c>
      <c r="AD7" t="b">
        <f ca="1"/>
        <v>0</v>
      </c>
      <c r="AE7" t="b">
        <f ca="1"/>
        <v>1</v>
      </c>
      <c r="AF7" t="b">
        <f ca="1"/>
        <v>0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b">
        <f ca="1"/>
        <v>0</v>
      </c>
      <c r="BQ7" t="b">
        <f ca="1"/>
        <v>0</v>
      </c>
    </row>
    <row r="8" spans="1:69" x14ac:dyDescent="0.25">
      <c r="A8" t="str">
        <f ca="1"/>
        <v>8_22 Skyscraper_1</v>
      </c>
      <c r="B8">
        <f ca="1"/>
        <v>7</v>
      </c>
      <c r="C8" t="str">
        <f ca="1"/>
        <v>Defense</v>
      </c>
      <c r="D8" t="str">
        <f ca="1"/>
        <v>Chos3n</v>
      </c>
      <c r="E8" t="str">
        <f ca="1"/>
        <v>Oryx</v>
      </c>
      <c r="F8">
        <f ca="1"/>
        <v>149</v>
      </c>
      <c r="G8" t="str">
        <f ca="1"/>
        <v>Kiru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3</v>
      </c>
      <c r="P8">
        <f ca="1"/>
        <v>3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UNKNOWN</v>
      </c>
      <c r="AH8" t="b">
        <f ca="1"/>
        <v>0</v>
      </c>
      <c r="AI8" t="str">
        <f ca="1"/>
        <v>Rival</v>
      </c>
      <c r="AJ8">
        <f ca="1"/>
        <v>75</v>
      </c>
      <c r="AK8" t="b">
        <f ca="1"/>
        <v>0</v>
      </c>
      <c r="AL8" t="b">
        <f ca="1"/>
        <v>1</v>
      </c>
      <c r="AM8" t="b">
        <f ca="1"/>
        <v>0</v>
      </c>
      <c r="AN8" t="str">
        <f ca="1"/>
        <v>UNKNOWN</v>
      </c>
      <c r="AO8" t="b">
        <f ca="1"/>
        <v>0</v>
      </c>
      <c r="AP8" t="str">
        <f ca="1"/>
        <v>Floofs</v>
      </c>
      <c r="AQ8">
        <f ca="1"/>
        <v>89</v>
      </c>
      <c r="AR8" t="b">
        <f ca="1"/>
        <v>0</v>
      </c>
      <c r="AS8" t="b">
        <f ca="1"/>
        <v>1</v>
      </c>
      <c r="AT8" t="b">
        <f ca="1"/>
        <v>0</v>
      </c>
      <c r="AU8" t="str">
        <f ca="1"/>
        <v>UNKNOWN</v>
      </c>
      <c r="AV8" t="b">
        <f ca="1"/>
        <v>0</v>
      </c>
      <c r="AW8" t="str">
        <f ca="1"/>
        <v>Snipey</v>
      </c>
      <c r="AX8">
        <f ca="1"/>
        <v>157</v>
      </c>
      <c r="AY8" t="b">
        <f ca="1"/>
        <v>0</v>
      </c>
      <c r="AZ8" t="b">
        <f ca="1"/>
        <v>1</v>
      </c>
      <c r="BA8" t="b">
        <f ca="1"/>
        <v>0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str">
        <f ca="1"/>
        <v/>
      </c>
      <c r="BQ8" t="str">
        <f ca="1"/>
        <v/>
      </c>
    </row>
    <row r="9" spans="1:69" x14ac:dyDescent="0.25">
      <c r="A9" t="str">
        <f ca="1"/>
        <v>8_22 Skyscraper_1</v>
      </c>
      <c r="B9">
        <f ca="1"/>
        <v>8</v>
      </c>
      <c r="C9" t="str">
        <f ca="1"/>
        <v>Defense</v>
      </c>
      <c r="D9" t="str">
        <f ca="1"/>
        <v>Chos3n</v>
      </c>
      <c r="E9" t="str">
        <f ca="1"/>
        <v>Mute</v>
      </c>
      <c r="F9" t="b">
        <f ca="1"/>
        <v>0</v>
      </c>
      <c r="G9" t="b">
        <f ca="1"/>
        <v>0</v>
      </c>
      <c r="H9" t="str">
        <f ca="1"/>
        <v>N/A</v>
      </c>
      <c r="I9" t="str">
        <f ca="1"/>
        <v>N/A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3</v>
      </c>
      <c r="P9">
        <f ca="1"/>
        <v>1</v>
      </c>
      <c r="Q9">
        <f ca="1"/>
        <v>0</v>
      </c>
      <c r="R9">
        <f ca="1"/>
        <v>0</v>
      </c>
      <c r="S9" t="b">
        <f ca="1"/>
        <v>1</v>
      </c>
      <c r="T9" t="b">
        <f ca="1"/>
        <v>1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UNKNOWN</v>
      </c>
      <c r="AA9" t="b">
        <f ca="1"/>
        <v>0</v>
      </c>
      <c r="AB9" t="str">
        <f ca="1"/>
        <v>Snipey</v>
      </c>
      <c r="AC9">
        <f ca="1"/>
        <v>65</v>
      </c>
      <c r="AD9" t="b">
        <f ca="1"/>
        <v>0</v>
      </c>
      <c r="AE9" t="b">
        <f ca="1"/>
        <v>1</v>
      </c>
      <c r="AF9" t="b">
        <f ca="1"/>
        <v>0</v>
      </c>
      <c r="AG9" t="str">
        <f ca="1"/>
        <v>UNKNOWN</v>
      </c>
      <c r="AH9" t="b">
        <f ca="1"/>
        <v>0</v>
      </c>
      <c r="AI9" t="str">
        <f ca="1"/>
        <v>Rival</v>
      </c>
      <c r="AJ9">
        <f ca="1"/>
        <v>66</v>
      </c>
      <c r="AK9" t="b">
        <f ca="1"/>
        <v>0</v>
      </c>
      <c r="AL9" t="b">
        <f ca="1"/>
        <v>0</v>
      </c>
      <c r="AM9" t="b">
        <f ca="1"/>
        <v>0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UNKNOWN</v>
      </c>
      <c r="AV9" t="b">
        <f ca="1"/>
        <v>0</v>
      </c>
      <c r="AW9" t="str">
        <f ca="1"/>
        <v>Kiru</v>
      </c>
      <c r="AX9">
        <f ca="1"/>
        <v>87</v>
      </c>
      <c r="AY9" t="b">
        <f ca="1"/>
        <v>0</v>
      </c>
      <c r="AZ9" t="b">
        <f ca="1"/>
        <v>0</v>
      </c>
      <c r="BA9" t="b">
        <f ca="1"/>
        <v>0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str">
        <f ca="1"/>
        <v/>
      </c>
      <c r="BQ9" t="str">
        <f ca="1"/>
        <v/>
      </c>
    </row>
    <row r="10" spans="1:69" x14ac:dyDescent="0.25">
      <c r="A10" t="str">
        <f ca="1"/>
        <v>8_22 Skyscraper_1</v>
      </c>
      <c r="B10">
        <f ca="1"/>
        <v>9</v>
      </c>
      <c r="C10" t="str">
        <f ca="1"/>
        <v>Defense</v>
      </c>
      <c r="D10" t="str">
        <f ca="1"/>
        <v>Chos3n</v>
      </c>
      <c r="E10" t="str">
        <f ca="1"/>
        <v>Warden</v>
      </c>
      <c r="F10">
        <f ca="1"/>
        <v>152</v>
      </c>
      <c r="G10" t="str">
        <f ca="1"/>
        <v>Kiru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str">
        <f ca="1"/>
        <v/>
      </c>
      <c r="BQ10" t="str">
        <f ca="1"/>
        <v/>
      </c>
    </row>
    <row r="11" spans="1:69" x14ac:dyDescent="0.25">
      <c r="A11" t="str">
        <f ca="1"/>
        <v>8_22 Skyscraper_1</v>
      </c>
      <c r="B11">
        <f ca="1"/>
        <v>10</v>
      </c>
      <c r="C11" t="str">
        <f ca="1"/>
        <v>Defense</v>
      </c>
      <c r="D11" t="str">
        <f ca="1"/>
        <v>Chos3n</v>
      </c>
      <c r="E11" t="str">
        <f ca="1"/>
        <v>Warden</v>
      </c>
      <c r="F11" t="b">
        <f ca="1"/>
        <v>0</v>
      </c>
      <c r="G11" t="b">
        <f ca="1"/>
        <v>0</v>
      </c>
      <c r="H11" t="str">
        <f ca="1"/>
        <v>N/A</v>
      </c>
      <c r="I11" t="str">
        <f ca="1"/>
        <v>N/A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str">
        <f ca="1"/>
        <v/>
      </c>
      <c r="BQ11" t="str">
        <f ca="1"/>
        <v/>
      </c>
    </row>
    <row r="12" spans="1:69" x14ac:dyDescent="0.25">
      <c r="A12" t="str">
        <f ca="1"/>
        <v>8_22 Skyscraper_1</v>
      </c>
      <c r="B12">
        <f ca="1"/>
        <v>11</v>
      </c>
      <c r="C12" t="str">
        <f ca="1"/>
        <v>Defense</v>
      </c>
      <c r="D12" t="str">
        <f ca="1"/>
        <v>Chos3n</v>
      </c>
      <c r="E12" t="str">
        <f ca="1"/>
        <v>Mute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1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UNKNOWN</v>
      </c>
      <c r="BC12" t="b">
        <f ca="1"/>
        <v>0</v>
      </c>
      <c r="BD12" t="str">
        <f ca="1"/>
        <v>Kouiyn</v>
      </c>
      <c r="BE12">
        <f ca="1"/>
        <v>127</v>
      </c>
      <c r="BF12" t="b">
        <f ca="1"/>
        <v>0</v>
      </c>
      <c r="BG12" t="b">
        <f ca="1"/>
        <v>0</v>
      </c>
      <c r="BH12" t="b">
        <f ca="1"/>
        <v>0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str">
        <f ca="1"/>
        <v/>
      </c>
      <c r="BQ12" t="str">
        <f ca="1"/>
        <v/>
      </c>
    </row>
  </sheetData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1744C9-0458-4A95-9796-0598289F0792}">
  <sheetPr codeName="Sheet15"/>
  <dimension ref="A1:BQ12"/>
  <sheetViews>
    <sheetView zoomScale="70" zoomScaleNormal="70" workbookViewId="0">
      <selection sqref="A1:BQ1"/>
    </sheetView>
  </sheetViews>
  <sheetFormatPr defaultRowHeight="15" x14ac:dyDescent="0.25"/>
  <sheetData>
    <row r="1" spans="1:69" x14ac:dyDescent="0.25">
      <c r="A1" s="48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0" t="s">
        <v>62</v>
      </c>
      <c r="H1" s="50" t="s">
        <v>219</v>
      </c>
      <c r="I1" s="50" t="s">
        <v>220</v>
      </c>
      <c r="J1" s="50" t="s">
        <v>221</v>
      </c>
      <c r="K1" s="50" t="s">
        <v>245</v>
      </c>
      <c r="L1" s="50" t="s">
        <v>257</v>
      </c>
      <c r="M1" s="50" t="s">
        <v>258</v>
      </c>
      <c r="N1" s="51" t="s">
        <v>405</v>
      </c>
      <c r="O1" s="50" t="s">
        <v>9</v>
      </c>
      <c r="P1" s="50" t="s">
        <v>222</v>
      </c>
      <c r="Q1" s="50" t="s">
        <v>223</v>
      </c>
      <c r="R1" s="50" t="s">
        <v>246</v>
      </c>
      <c r="S1" s="50" t="s">
        <v>259</v>
      </c>
      <c r="T1" s="50" t="s">
        <v>260</v>
      </c>
      <c r="U1" s="51" t="s">
        <v>406</v>
      </c>
      <c r="V1" s="21" t="s">
        <v>324</v>
      </c>
      <c r="W1" s="50" t="s">
        <v>33</v>
      </c>
      <c r="X1" s="50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423</v>
      </c>
      <c r="AI1" s="21" t="s">
        <v>313</v>
      </c>
      <c r="AJ1" s="21" t="s">
        <v>314</v>
      </c>
      <c r="AK1" s="21" t="s">
        <v>422</v>
      </c>
      <c r="AL1" s="21" t="s">
        <v>421</v>
      </c>
      <c r="AM1" s="21" t="s">
        <v>420</v>
      </c>
      <c r="AN1" s="13" t="s">
        <v>63</v>
      </c>
      <c r="AO1" s="13" t="s">
        <v>419</v>
      </c>
      <c r="AP1" s="13" t="s">
        <v>315</v>
      </c>
      <c r="AQ1" s="13" t="s">
        <v>316</v>
      </c>
      <c r="AR1" s="13" t="s">
        <v>418</v>
      </c>
      <c r="AS1" s="13" t="s">
        <v>417</v>
      </c>
      <c r="AT1" s="13" t="s">
        <v>416</v>
      </c>
      <c r="AU1" s="21" t="s">
        <v>64</v>
      </c>
      <c r="AV1" s="21" t="s">
        <v>415</v>
      </c>
      <c r="AW1" s="21" t="s">
        <v>317</v>
      </c>
      <c r="AX1" s="21" t="s">
        <v>318</v>
      </c>
      <c r="AY1" s="21" t="s">
        <v>414</v>
      </c>
      <c r="AZ1" s="21" t="s">
        <v>413</v>
      </c>
      <c r="BA1" s="21" t="s">
        <v>412</v>
      </c>
      <c r="BB1" s="13" t="s">
        <v>65</v>
      </c>
      <c r="BC1" s="13" t="s">
        <v>411</v>
      </c>
      <c r="BD1" s="13" t="s">
        <v>319</v>
      </c>
      <c r="BE1" s="13" t="s">
        <v>320</v>
      </c>
      <c r="BF1" s="13" t="s">
        <v>409</v>
      </c>
      <c r="BG1" s="13" t="s">
        <v>408</v>
      </c>
      <c r="BH1" s="13" t="s">
        <v>410</v>
      </c>
      <c r="BI1" s="16" t="s">
        <v>407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2" ca="1">pulloverall(REF!A10:A18,REF!A4,REF!A2:A7,REF!B2)</f>
        <v>8_22 Skyscraper_1</v>
      </c>
      <c r="B2">
        <f ca="1"/>
        <v>1</v>
      </c>
      <c r="C2" t="str">
        <f ca="1"/>
        <v>Attack</v>
      </c>
      <c r="D2" t="str">
        <f ca="1"/>
        <v>Ozone</v>
      </c>
      <c r="E2" t="str">
        <f ca="1"/>
        <v>Finka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0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8_22 Skyscraper_1</v>
      </c>
      <c r="B3">
        <f ca="1"/>
        <v>2</v>
      </c>
      <c r="C3" t="str">
        <f ca="1"/>
        <v>Attack</v>
      </c>
      <c r="D3" t="str">
        <f ca="1"/>
        <v>Ozone</v>
      </c>
      <c r="E3" t="str">
        <f ca="1"/>
        <v>Finka</v>
      </c>
      <c r="F3" t="b">
        <f ca="1"/>
        <v>0</v>
      </c>
      <c r="G3" t="b">
        <f ca="1"/>
        <v>0</v>
      </c>
      <c r="H3" t="str">
        <f ca="1"/>
        <v>N/A</v>
      </c>
      <c r="I3" t="str">
        <f ca="1"/>
        <v>N/A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8_22 Skyscraper_1</v>
      </c>
      <c r="B4">
        <f ca="1"/>
        <v>3</v>
      </c>
      <c r="C4" t="str">
        <f ca="1"/>
        <v>Attack</v>
      </c>
      <c r="D4" t="str">
        <f ca="1"/>
        <v>Ozone</v>
      </c>
      <c r="E4" t="str">
        <f ca="1"/>
        <v>Finka</v>
      </c>
      <c r="F4">
        <f ca="1"/>
        <v>99</v>
      </c>
      <c r="G4" t="str">
        <f ca="1"/>
        <v>Floofs</v>
      </c>
      <c r="H4" t="b">
        <f ca="1"/>
        <v>0</v>
      </c>
      <c r="I4" t="b">
        <f ca="1"/>
        <v>0</v>
      </c>
      <c r="J4" t="b">
        <f ca="1"/>
        <v>0</v>
      </c>
      <c r="K4" t="str">
        <f ca="1"/>
        <v>NOLOC</v>
      </c>
      <c r="L4" t="b">
        <f ca="1"/>
        <v>1</v>
      </c>
      <c r="M4" t="b">
        <f ca="1"/>
        <v>1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0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  <row r="5" spans="1:69" x14ac:dyDescent="0.25">
      <c r="A5" t="str">
        <f ca="1"/>
        <v>8_22 Skyscraper_1</v>
      </c>
      <c r="B5">
        <f ca="1"/>
        <v>4</v>
      </c>
      <c r="C5" t="str">
        <f ca="1"/>
        <v>Attack</v>
      </c>
      <c r="D5" t="str">
        <f ca="1"/>
        <v>Ozone</v>
      </c>
      <c r="E5" t="str">
        <f ca="1"/>
        <v>Finka</v>
      </c>
      <c r="F5">
        <f ca="1"/>
        <v>129</v>
      </c>
      <c r="G5" t="str">
        <f ca="1"/>
        <v>Floofs</v>
      </c>
      <c r="H5" t="b">
        <f ca="1"/>
        <v>0</v>
      </c>
      <c r="I5" t="b">
        <f ca="1"/>
        <v>1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1</v>
      </c>
      <c r="P5">
        <f ca="1"/>
        <v>1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UNKNOWN</v>
      </c>
      <c r="BC5" t="b">
        <f ca="1"/>
        <v>0</v>
      </c>
      <c r="BD5" t="str">
        <f ca="1"/>
        <v>Kiru</v>
      </c>
      <c r="BE5">
        <f ca="1"/>
        <v>152</v>
      </c>
      <c r="BF5" t="b">
        <f ca="1"/>
        <v>0</v>
      </c>
      <c r="BG5" t="b">
        <f ca="1"/>
        <v>1</v>
      </c>
      <c r="BH5" t="b">
        <f ca="1"/>
        <v>0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b">
        <f ca="1"/>
        <v>0</v>
      </c>
      <c r="BQ5" t="b">
        <f ca="1"/>
        <v>0</v>
      </c>
    </row>
    <row r="6" spans="1:69" x14ac:dyDescent="0.25">
      <c r="A6" t="str">
        <f ca="1"/>
        <v>8_22 Skyscraper_1</v>
      </c>
      <c r="B6">
        <f ca="1"/>
        <v>5</v>
      </c>
      <c r="C6" t="str">
        <f ca="1"/>
        <v>Attack</v>
      </c>
      <c r="D6" t="str">
        <f ca="1"/>
        <v>Ozone</v>
      </c>
      <c r="E6" t="str">
        <f ca="1"/>
        <v>Finka</v>
      </c>
      <c r="F6">
        <f ca="1"/>
        <v>38</v>
      </c>
      <c r="G6" t="str">
        <f ca="1"/>
        <v>Snipey</v>
      </c>
      <c r="H6" t="b">
        <f ca="1"/>
        <v>0</v>
      </c>
      <c r="I6" t="b">
        <f ca="1"/>
        <v>0</v>
      </c>
      <c r="J6" t="b">
        <f ca="1"/>
        <v>0</v>
      </c>
      <c r="K6" t="str">
        <f ca="1"/>
        <v>NOLOC</v>
      </c>
      <c r="L6" t="b">
        <f ca="1"/>
        <v>1</v>
      </c>
      <c r="M6" t="b">
        <f ca="1"/>
        <v>1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0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b">
        <f ca="1"/>
        <v>0</v>
      </c>
      <c r="BQ6" t="b">
        <f ca="1"/>
        <v>0</v>
      </c>
    </row>
    <row r="7" spans="1:69" x14ac:dyDescent="0.25">
      <c r="A7" t="str">
        <f ca="1"/>
        <v>8_22 Skyscraper_1</v>
      </c>
      <c r="B7">
        <f ca="1"/>
        <v>6</v>
      </c>
      <c r="C7" t="str">
        <f ca="1"/>
        <v>Attack</v>
      </c>
      <c r="D7" t="str">
        <f ca="1"/>
        <v>Ozone</v>
      </c>
      <c r="E7" t="str">
        <f ca="1"/>
        <v>Finka</v>
      </c>
      <c r="F7">
        <f ca="1"/>
        <v>110</v>
      </c>
      <c r="G7" t="str">
        <f ca="1"/>
        <v>Floofs</v>
      </c>
      <c r="H7" t="b">
        <f ca="1"/>
        <v>0</v>
      </c>
      <c r="I7" t="b">
        <f ca="1"/>
        <v>0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1</v>
      </c>
      <c r="P7">
        <f ca="1"/>
        <v>1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UNKNOWN</v>
      </c>
      <c r="AO7" t="b">
        <f ca="1"/>
        <v>0</v>
      </c>
      <c r="AP7" t="str">
        <f ca="1"/>
        <v>Snipey</v>
      </c>
      <c r="AQ7">
        <f ca="1"/>
        <v>123</v>
      </c>
      <c r="AR7" t="b">
        <f ca="1"/>
        <v>0</v>
      </c>
      <c r="AS7" t="b">
        <f ca="1"/>
        <v>1</v>
      </c>
      <c r="AT7" t="b">
        <f ca="1"/>
        <v>0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b">
        <f ca="1"/>
        <v>0</v>
      </c>
      <c r="BQ7" t="b">
        <f ca="1"/>
        <v>0</v>
      </c>
    </row>
    <row r="8" spans="1:69" x14ac:dyDescent="0.25">
      <c r="A8" t="str">
        <f ca="1"/>
        <v>8_22 Skyscraper_1</v>
      </c>
      <c r="B8">
        <f ca="1"/>
        <v>7</v>
      </c>
      <c r="C8" t="str">
        <f ca="1"/>
        <v>Defense</v>
      </c>
      <c r="D8" t="str">
        <f ca="1"/>
        <v>Ozone</v>
      </c>
      <c r="E8" t="str">
        <f ca="1"/>
        <v>Smoke</v>
      </c>
      <c r="F8" t="b">
        <f ca="1"/>
        <v>0</v>
      </c>
      <c r="G8" t="b">
        <f ca="1"/>
        <v>0</v>
      </c>
      <c r="H8" t="str">
        <f ca="1"/>
        <v>N/A</v>
      </c>
      <c r="I8" t="str">
        <f ca="1"/>
        <v>N/A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0</v>
      </c>
      <c r="P8">
        <f ca="1"/>
        <v>0</v>
      </c>
      <c r="Q8">
        <f ca="1"/>
        <v>0</v>
      </c>
      <c r="R8">
        <f ca="1"/>
        <v>1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1</v>
      </c>
      <c r="Y8" t="b">
        <f ca="1"/>
        <v>1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str">
        <f ca="1"/>
        <v/>
      </c>
      <c r="BQ8" t="str">
        <f ca="1"/>
        <v/>
      </c>
    </row>
    <row r="9" spans="1:69" x14ac:dyDescent="0.25">
      <c r="A9" t="str">
        <f ca="1"/>
        <v>8_22 Skyscraper_1</v>
      </c>
      <c r="B9">
        <f ca="1"/>
        <v>8</v>
      </c>
      <c r="C9" t="str">
        <f ca="1"/>
        <v>Defense</v>
      </c>
      <c r="D9" t="str">
        <f ca="1"/>
        <v>Ozone</v>
      </c>
      <c r="E9" t="str">
        <f ca="1"/>
        <v>Smoke</v>
      </c>
      <c r="F9">
        <f ca="1"/>
        <v>89</v>
      </c>
      <c r="G9" t="str">
        <f ca="1"/>
        <v>Kouiyn</v>
      </c>
      <c r="H9" t="b">
        <f ca="1"/>
        <v>0</v>
      </c>
      <c r="I9" t="b">
        <f ca="1"/>
        <v>1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1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str">
        <f ca="1"/>
        <v/>
      </c>
      <c r="BQ9" t="str">
        <f ca="1"/>
        <v/>
      </c>
    </row>
    <row r="10" spans="1:69" x14ac:dyDescent="0.25">
      <c r="A10" t="str">
        <f ca="1"/>
        <v>8_22 Skyscraper_1</v>
      </c>
      <c r="B10">
        <f ca="1"/>
        <v>9</v>
      </c>
      <c r="C10" t="str">
        <f ca="1"/>
        <v>Defense</v>
      </c>
      <c r="D10" t="str">
        <f ca="1"/>
        <v>Ozone</v>
      </c>
      <c r="E10" t="str">
        <f ca="1"/>
        <v>Smoke</v>
      </c>
      <c r="F10">
        <f ca="1"/>
        <v>149</v>
      </c>
      <c r="G10" t="str">
        <f ca="1"/>
        <v>Kiru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str">
        <f ca="1"/>
        <v/>
      </c>
      <c r="BQ10" t="str">
        <f ca="1"/>
        <v/>
      </c>
    </row>
    <row r="11" spans="1:69" x14ac:dyDescent="0.25">
      <c r="A11" t="str">
        <f ca="1"/>
        <v>8_22 Skyscraper_1</v>
      </c>
      <c r="B11">
        <f ca="1"/>
        <v>10</v>
      </c>
      <c r="C11" t="str">
        <f ca="1"/>
        <v>Defense</v>
      </c>
      <c r="D11" t="str">
        <f ca="1"/>
        <v>Ozone</v>
      </c>
      <c r="E11" t="str">
        <f ca="1"/>
        <v>Smoke</v>
      </c>
      <c r="F11">
        <f ca="1"/>
        <v>85</v>
      </c>
      <c r="G11" t="str">
        <f ca="1"/>
        <v>Kiru</v>
      </c>
      <c r="H11" t="b">
        <f ca="1"/>
        <v>0</v>
      </c>
      <c r="I11" t="b">
        <f ca="1"/>
        <v>1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1</v>
      </c>
      <c r="N11">
        <f ca="1"/>
        <v>10</v>
      </c>
      <c r="O11">
        <f ca="1"/>
        <v>2</v>
      </c>
      <c r="P11">
        <f ca="1"/>
        <v>1</v>
      </c>
      <c r="Q11">
        <f ca="1"/>
        <v>1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UNKNOWN</v>
      </c>
      <c r="AO11" t="b">
        <f ca="1"/>
        <v>0</v>
      </c>
      <c r="AP11" t="str">
        <f ca="1"/>
        <v>Kiru</v>
      </c>
      <c r="AQ11">
        <f ca="1"/>
        <v>122</v>
      </c>
      <c r="AR11" t="b">
        <f ca="1"/>
        <v>0</v>
      </c>
      <c r="AS11" t="b">
        <f ca="1"/>
        <v>1</v>
      </c>
      <c r="AT11" t="b">
        <f ca="1"/>
        <v>0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UNKNOWN</v>
      </c>
      <c r="BC11" t="b">
        <f ca="1"/>
        <v>1</v>
      </c>
      <c r="BD11" t="str">
        <f ca="1"/>
        <v>Rival</v>
      </c>
      <c r="BE11">
        <f ca="1"/>
        <v>154</v>
      </c>
      <c r="BF11" t="b">
        <f ca="1"/>
        <v>0</v>
      </c>
      <c r="BG11" t="b">
        <f ca="1"/>
        <v>0</v>
      </c>
      <c r="BH11" t="b">
        <f ca="1"/>
        <v>0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str">
        <f ca="1"/>
        <v/>
      </c>
      <c r="BQ11" t="str">
        <f ca="1"/>
        <v/>
      </c>
    </row>
    <row r="12" spans="1:69" x14ac:dyDescent="0.25">
      <c r="A12" t="str">
        <f ca="1"/>
        <v>8_22 Skyscraper_1</v>
      </c>
      <c r="B12">
        <f ca="1"/>
        <v>11</v>
      </c>
      <c r="C12" t="str">
        <f ca="1"/>
        <v>Defense</v>
      </c>
      <c r="D12" t="str">
        <f ca="1"/>
        <v>Ozone</v>
      </c>
      <c r="E12" t="str">
        <f ca="1"/>
        <v>Alibi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2</v>
      </c>
      <c r="P12">
        <f ca="1"/>
        <v>1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UNKNOWN</v>
      </c>
      <c r="AO12" t="b">
        <f ca="1"/>
        <v>0</v>
      </c>
      <c r="AP12" t="str">
        <f ca="1"/>
        <v>Rival</v>
      </c>
      <c r="AQ12">
        <f ca="1"/>
        <v>86</v>
      </c>
      <c r="AR12" t="b">
        <f ca="1"/>
        <v>0</v>
      </c>
      <c r="AS12" t="b">
        <f ca="1"/>
        <v>1</v>
      </c>
      <c r="AT12" t="b">
        <f ca="1"/>
        <v>0</v>
      </c>
      <c r="AU12" t="str">
        <f ca="1"/>
        <v>UNKNOWN</v>
      </c>
      <c r="AV12" t="b">
        <f ca="1"/>
        <v>0</v>
      </c>
      <c r="AW12" t="str">
        <f ca="1"/>
        <v>Floofs</v>
      </c>
      <c r="AX12">
        <f ca="1"/>
        <v>127</v>
      </c>
      <c r="AY12" t="b">
        <f ca="1"/>
        <v>0</v>
      </c>
      <c r="AZ12" t="b">
        <f ca="1"/>
        <v>0</v>
      </c>
      <c r="BA12" t="b">
        <f ca="1"/>
        <v>0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str">
        <f ca="1"/>
        <v/>
      </c>
      <c r="BQ12" t="str">
        <f ca="1"/>
        <v/>
      </c>
    </row>
  </sheetData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9E210-958B-4DDE-A2DD-68813EE24A6E}">
  <sheetPr codeName="Sheet16"/>
  <dimension ref="A1:BQ12"/>
  <sheetViews>
    <sheetView zoomScale="40" zoomScaleNormal="40" workbookViewId="0">
      <selection sqref="A1:BQ1"/>
    </sheetView>
  </sheetViews>
  <sheetFormatPr defaultRowHeight="15" x14ac:dyDescent="0.25"/>
  <sheetData>
    <row r="1" spans="1:69" x14ac:dyDescent="0.25">
      <c r="A1" s="48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0" t="s">
        <v>62</v>
      </c>
      <c r="H1" s="50" t="s">
        <v>219</v>
      </c>
      <c r="I1" s="50" t="s">
        <v>220</v>
      </c>
      <c r="J1" s="50" t="s">
        <v>221</v>
      </c>
      <c r="K1" s="50" t="s">
        <v>245</v>
      </c>
      <c r="L1" s="50" t="s">
        <v>257</v>
      </c>
      <c r="M1" s="50" t="s">
        <v>258</v>
      </c>
      <c r="N1" s="51" t="s">
        <v>405</v>
      </c>
      <c r="O1" s="50" t="s">
        <v>9</v>
      </c>
      <c r="P1" s="50" t="s">
        <v>222</v>
      </c>
      <c r="Q1" s="50" t="s">
        <v>223</v>
      </c>
      <c r="R1" s="50" t="s">
        <v>246</v>
      </c>
      <c r="S1" s="50" t="s">
        <v>259</v>
      </c>
      <c r="T1" s="50" t="s">
        <v>260</v>
      </c>
      <c r="U1" s="51" t="s">
        <v>406</v>
      </c>
      <c r="V1" s="21" t="s">
        <v>324</v>
      </c>
      <c r="W1" s="50" t="s">
        <v>33</v>
      </c>
      <c r="X1" s="50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423</v>
      </c>
      <c r="AI1" s="21" t="s">
        <v>313</v>
      </c>
      <c r="AJ1" s="21" t="s">
        <v>314</v>
      </c>
      <c r="AK1" s="21" t="s">
        <v>422</v>
      </c>
      <c r="AL1" s="21" t="s">
        <v>421</v>
      </c>
      <c r="AM1" s="21" t="s">
        <v>420</v>
      </c>
      <c r="AN1" s="13" t="s">
        <v>63</v>
      </c>
      <c r="AO1" s="13" t="s">
        <v>419</v>
      </c>
      <c r="AP1" s="13" t="s">
        <v>315</v>
      </c>
      <c r="AQ1" s="13" t="s">
        <v>316</v>
      </c>
      <c r="AR1" s="13" t="s">
        <v>418</v>
      </c>
      <c r="AS1" s="13" t="s">
        <v>417</v>
      </c>
      <c r="AT1" s="13" t="s">
        <v>416</v>
      </c>
      <c r="AU1" s="21" t="s">
        <v>64</v>
      </c>
      <c r="AV1" s="21" t="s">
        <v>415</v>
      </c>
      <c r="AW1" s="21" t="s">
        <v>317</v>
      </c>
      <c r="AX1" s="21" t="s">
        <v>318</v>
      </c>
      <c r="AY1" s="21" t="s">
        <v>414</v>
      </c>
      <c r="AZ1" s="21" t="s">
        <v>413</v>
      </c>
      <c r="BA1" s="21" t="s">
        <v>412</v>
      </c>
      <c r="BB1" s="13" t="s">
        <v>65</v>
      </c>
      <c r="BC1" s="13" t="s">
        <v>411</v>
      </c>
      <c r="BD1" s="13" t="s">
        <v>319</v>
      </c>
      <c r="BE1" s="13" t="s">
        <v>320</v>
      </c>
      <c r="BF1" s="13" t="s">
        <v>409</v>
      </c>
      <c r="BG1" s="13" t="s">
        <v>408</v>
      </c>
      <c r="BH1" s="13" t="s">
        <v>410</v>
      </c>
      <c r="BI1" s="16" t="s">
        <v>407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2" ca="1">pulloverall(REF!A10:A18,REF!A5,REF!A2:A7,REF!B2)</f>
        <v>8_22 Skyscraper_1</v>
      </c>
      <c r="B2">
        <f ca="1"/>
        <v>1</v>
      </c>
      <c r="C2" t="str">
        <f ca="1"/>
        <v>Attack</v>
      </c>
      <c r="D2" t="str">
        <f ca="1"/>
        <v>Krypticz</v>
      </c>
      <c r="E2" t="str">
        <f ca="1"/>
        <v>Iana</v>
      </c>
      <c r="F2">
        <f ca="1"/>
        <v>151</v>
      </c>
      <c r="G2" t="str">
        <f ca="1"/>
        <v>Kiru</v>
      </c>
      <c r="H2" t="b">
        <f ca="1"/>
        <v>0</v>
      </c>
      <c r="I2" t="b">
        <f ca="1"/>
        <v>0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0</v>
      </c>
      <c r="Q2">
        <f ca="1"/>
        <v>0</v>
      </c>
      <c r="R2">
        <f ca="1"/>
        <v>0</v>
      </c>
      <c r="S2" t="b">
        <f ca="1"/>
        <v>0</v>
      </c>
      <c r="T2" t="b">
        <f ca="1"/>
        <v>0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NOLOC</v>
      </c>
      <c r="AA2" t="b">
        <f ca="1"/>
        <v>0</v>
      </c>
      <c r="AB2" t="b">
        <f ca="1"/>
        <v>0</v>
      </c>
      <c r="AC2" t="b">
        <f ca="1"/>
        <v>0</v>
      </c>
      <c r="AD2" t="b">
        <f ca="1"/>
        <v>0</v>
      </c>
      <c r="AE2" t="b">
        <f ca="1"/>
        <v>0</v>
      </c>
      <c r="AF2" t="str">
        <f ca="1"/>
        <v>N/A</v>
      </c>
      <c r="AG2" t="str">
        <f ca="1"/>
        <v>UNKNOWN</v>
      </c>
      <c r="AH2" t="b">
        <f ca="1"/>
        <v>0</v>
      </c>
      <c r="AI2" t="str">
        <f ca="1"/>
        <v>Snipey</v>
      </c>
      <c r="AJ2">
        <f ca="1"/>
        <v>114</v>
      </c>
      <c r="AK2" t="b">
        <f ca="1"/>
        <v>0</v>
      </c>
      <c r="AL2" t="b">
        <f ca="1"/>
        <v>0</v>
      </c>
      <c r="AM2" t="b">
        <f ca="1"/>
        <v>0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8_22 Skyscraper_1</v>
      </c>
      <c r="B3">
        <f ca="1"/>
        <v>2</v>
      </c>
      <c r="C3" t="str">
        <f ca="1"/>
        <v>Attack</v>
      </c>
      <c r="D3" t="str">
        <f ca="1"/>
        <v>Krypticz</v>
      </c>
      <c r="E3" t="str">
        <f ca="1"/>
        <v>Iana</v>
      </c>
      <c r="F3">
        <f ca="1"/>
        <v>167</v>
      </c>
      <c r="G3" t="str">
        <f ca="1"/>
        <v>Rival</v>
      </c>
      <c r="H3" t="b">
        <f ca="1"/>
        <v>0</v>
      </c>
      <c r="I3" t="b">
        <f ca="1"/>
        <v>0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0</v>
      </c>
      <c r="P3">
        <f ca="1"/>
        <v>0</v>
      </c>
      <c r="Q3">
        <f ca="1"/>
        <v>0</v>
      </c>
      <c r="R3">
        <f ca="1"/>
        <v>0</v>
      </c>
      <c r="S3" t="b">
        <f ca="1"/>
        <v>0</v>
      </c>
      <c r="T3" t="b">
        <f ca="1"/>
        <v>0</v>
      </c>
      <c r="U3">
        <f ca="1"/>
        <v>2</v>
      </c>
      <c r="V3" t="b">
        <f ca="1"/>
        <v>0</v>
      </c>
      <c r="W3" t="b">
        <f ca="1"/>
        <v>0</v>
      </c>
      <c r="X3" t="b">
        <f ca="1"/>
        <v>0</v>
      </c>
      <c r="Y3" t="b">
        <f ca="1"/>
        <v>0</v>
      </c>
      <c r="Z3" t="str">
        <f ca="1"/>
        <v>NOLOC</v>
      </c>
      <c r="AA3" t="b">
        <f ca="1"/>
        <v>0</v>
      </c>
      <c r="AB3" t="b">
        <f ca="1"/>
        <v>0</v>
      </c>
      <c r="AC3" t="b">
        <f ca="1"/>
        <v>0</v>
      </c>
      <c r="AD3" t="b">
        <f ca="1"/>
        <v>0</v>
      </c>
      <c r="AE3" t="b">
        <f ca="1"/>
        <v>0</v>
      </c>
      <c r="AF3" t="str">
        <f ca="1"/>
        <v>N/A</v>
      </c>
      <c r="AG3" t="str">
        <f ca="1"/>
        <v>NOLOC</v>
      </c>
      <c r="AH3" t="b">
        <f ca="1"/>
        <v>0</v>
      </c>
      <c r="AI3" t="b">
        <f ca="1"/>
        <v>0</v>
      </c>
      <c r="AJ3" t="b">
        <f ca="1"/>
        <v>0</v>
      </c>
      <c r="AK3" t="b">
        <f ca="1"/>
        <v>0</v>
      </c>
      <c r="AL3" t="b">
        <f ca="1"/>
        <v>0</v>
      </c>
      <c r="AM3" t="str">
        <f ca="1"/>
        <v>N/A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8_22 Skyscraper_1</v>
      </c>
      <c r="B4">
        <f ca="1"/>
        <v>3</v>
      </c>
      <c r="C4" t="str">
        <f ca="1"/>
        <v>Attack</v>
      </c>
      <c r="D4" t="str">
        <f ca="1"/>
        <v>Krypticz</v>
      </c>
      <c r="E4" t="str">
        <f ca="1"/>
        <v>Iana</v>
      </c>
      <c r="F4">
        <f ca="1"/>
        <v>155</v>
      </c>
      <c r="G4" t="str">
        <f ca="1"/>
        <v>Rival</v>
      </c>
      <c r="H4" t="b">
        <f ca="1"/>
        <v>0</v>
      </c>
      <c r="I4" t="b">
        <f ca="1"/>
        <v>0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0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  <row r="5" spans="1:69" x14ac:dyDescent="0.25">
      <c r="A5" t="str">
        <f ca="1"/>
        <v>8_22 Skyscraper_1</v>
      </c>
      <c r="B5">
        <f ca="1"/>
        <v>4</v>
      </c>
      <c r="C5" t="str">
        <f ca="1"/>
        <v>Attack</v>
      </c>
      <c r="D5" t="str">
        <f ca="1"/>
        <v>Krypticz</v>
      </c>
      <c r="E5" t="str">
        <f ca="1"/>
        <v>Iana</v>
      </c>
      <c r="F5" t="b">
        <f ca="1"/>
        <v>0</v>
      </c>
      <c r="G5" t="b">
        <f ca="1"/>
        <v>0</v>
      </c>
      <c r="H5" t="str">
        <f ca="1"/>
        <v>N/A</v>
      </c>
      <c r="I5" t="str">
        <f ca="1"/>
        <v>N/A</v>
      </c>
      <c r="J5" t="b">
        <f ca="1"/>
        <v>0</v>
      </c>
      <c r="K5" t="str">
        <f ca="1"/>
        <v>NOLOC</v>
      </c>
      <c r="L5" t="b">
        <f ca="1"/>
        <v>0</v>
      </c>
      <c r="M5" t="b">
        <f ca="1"/>
        <v>0</v>
      </c>
      <c r="N5">
        <f ca="1"/>
        <v>4</v>
      </c>
      <c r="O5">
        <f ca="1"/>
        <v>0</v>
      </c>
      <c r="P5">
        <f ca="1"/>
        <v>0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NOLOC</v>
      </c>
      <c r="AH5" t="b">
        <f ca="1"/>
        <v>0</v>
      </c>
      <c r="AI5" t="b">
        <f ca="1"/>
        <v>0</v>
      </c>
      <c r="AJ5" t="b">
        <f ca="1"/>
        <v>0</v>
      </c>
      <c r="AK5" t="b">
        <f ca="1"/>
        <v>0</v>
      </c>
      <c r="AL5" t="b">
        <f ca="1"/>
        <v>0</v>
      </c>
      <c r="AM5" t="str">
        <f ca="1"/>
        <v>N/A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b">
        <f ca="1"/>
        <v>0</v>
      </c>
      <c r="BQ5" t="b">
        <f ca="1"/>
        <v>0</v>
      </c>
    </row>
    <row r="6" spans="1:69" x14ac:dyDescent="0.25">
      <c r="A6" t="str">
        <f ca="1"/>
        <v>8_22 Skyscraper_1</v>
      </c>
      <c r="B6">
        <f ca="1"/>
        <v>5</v>
      </c>
      <c r="C6" t="str">
        <f ca="1"/>
        <v>Attack</v>
      </c>
      <c r="D6" t="str">
        <f ca="1"/>
        <v>Krypticz</v>
      </c>
      <c r="E6" t="str">
        <f ca="1"/>
        <v>Iana</v>
      </c>
      <c r="F6">
        <f ca="1"/>
        <v>151</v>
      </c>
      <c r="G6" t="str">
        <f ca="1"/>
        <v>Snipey</v>
      </c>
      <c r="H6" t="b">
        <f ca="1"/>
        <v>0</v>
      </c>
      <c r="I6" t="b">
        <f ca="1"/>
        <v>0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0</v>
      </c>
      <c r="X6" t="b">
        <f ca="1"/>
        <v>1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b">
        <f ca="1"/>
        <v>0</v>
      </c>
      <c r="BQ6" t="b">
        <f ca="1"/>
        <v>0</v>
      </c>
    </row>
    <row r="7" spans="1:69" x14ac:dyDescent="0.25">
      <c r="A7" t="str">
        <f ca="1"/>
        <v>8_22 Skyscraper_1</v>
      </c>
      <c r="B7">
        <f ca="1"/>
        <v>6</v>
      </c>
      <c r="C7" t="str">
        <f ca="1"/>
        <v>Attack</v>
      </c>
      <c r="D7" t="str">
        <f ca="1"/>
        <v>Krypticz</v>
      </c>
      <c r="E7" t="str">
        <f ca="1"/>
        <v>Iana</v>
      </c>
      <c r="F7">
        <f ca="1"/>
        <v>176</v>
      </c>
      <c r="G7" t="str">
        <f ca="1"/>
        <v>Floofs</v>
      </c>
      <c r="H7" t="b">
        <f ca="1"/>
        <v>0</v>
      </c>
      <c r="I7" t="b">
        <f ca="1"/>
        <v>0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0</v>
      </c>
      <c r="N7">
        <f ca="1"/>
        <v>6</v>
      </c>
      <c r="O7">
        <f ca="1"/>
        <v>1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1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UNKNOWN</v>
      </c>
      <c r="AH7" t="b">
        <f ca="1"/>
        <v>0</v>
      </c>
      <c r="AI7" t="str">
        <f ca="1"/>
        <v>Kouiyn</v>
      </c>
      <c r="AJ7">
        <f ca="1"/>
        <v>105</v>
      </c>
      <c r="AK7" t="b">
        <f ca="1"/>
        <v>0</v>
      </c>
      <c r="AL7" t="b">
        <f ca="1"/>
        <v>0</v>
      </c>
      <c r="AM7" t="b">
        <f ca="1"/>
        <v>0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b">
        <f ca="1"/>
        <v>0</v>
      </c>
      <c r="BQ7" t="b">
        <f ca="1"/>
        <v>0</v>
      </c>
    </row>
    <row r="8" spans="1:69" x14ac:dyDescent="0.25">
      <c r="A8" t="str">
        <f ca="1"/>
        <v>8_22 Skyscraper_1</v>
      </c>
      <c r="B8">
        <f ca="1"/>
        <v>7</v>
      </c>
      <c r="C8" t="str">
        <f ca="1"/>
        <v>Defense</v>
      </c>
      <c r="D8" t="str">
        <f ca="1"/>
        <v>Krypticz</v>
      </c>
      <c r="E8" t="str">
        <f ca="1"/>
        <v>Thorn</v>
      </c>
      <c r="F8">
        <f ca="1"/>
        <v>64</v>
      </c>
      <c r="G8" t="str">
        <f ca="1"/>
        <v>Kiru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1</v>
      </c>
      <c r="N8">
        <f ca="1"/>
        <v>7</v>
      </c>
      <c r="O8">
        <f ca="1"/>
        <v>1</v>
      </c>
      <c r="P8">
        <f ca="1"/>
        <v>0</v>
      </c>
      <c r="Q8">
        <f ca="1"/>
        <v>0</v>
      </c>
      <c r="R8">
        <f ca="1"/>
        <v>0</v>
      </c>
      <c r="S8" t="b">
        <f ca="1"/>
        <v>0</v>
      </c>
      <c r="T8" t="b">
        <f ca="1"/>
        <v>0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NOLOC</v>
      </c>
      <c r="AA8" t="b">
        <f ca="1"/>
        <v>0</v>
      </c>
      <c r="AB8" t="b">
        <f ca="1"/>
        <v>0</v>
      </c>
      <c r="AC8" t="b">
        <f ca="1"/>
        <v>0</v>
      </c>
      <c r="AD8" t="b">
        <f ca="1"/>
        <v>0</v>
      </c>
      <c r="AE8" t="b">
        <f ca="1"/>
        <v>0</v>
      </c>
      <c r="AF8" t="str">
        <f ca="1"/>
        <v>N/A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UNKNOWN</v>
      </c>
      <c r="BC8" t="b">
        <f ca="1"/>
        <v>0</v>
      </c>
      <c r="BD8" t="str">
        <f ca="1"/>
        <v>Kiru</v>
      </c>
      <c r="BE8">
        <f ca="1"/>
        <v>168</v>
      </c>
      <c r="BF8" t="b">
        <f ca="1"/>
        <v>0</v>
      </c>
      <c r="BG8" t="b">
        <f ca="1"/>
        <v>0</v>
      </c>
      <c r="BH8" t="b">
        <f ca="1"/>
        <v>0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str">
        <f ca="1"/>
        <v/>
      </c>
      <c r="BQ8" t="str">
        <f ca="1"/>
        <v/>
      </c>
    </row>
    <row r="9" spans="1:69" x14ac:dyDescent="0.25">
      <c r="A9" t="str">
        <f ca="1"/>
        <v>8_22 Skyscraper_1</v>
      </c>
      <c r="B9">
        <f ca="1"/>
        <v>8</v>
      </c>
      <c r="C9" t="str">
        <f ca="1"/>
        <v>Defense</v>
      </c>
      <c r="D9" t="str">
        <f ca="1"/>
        <v>Krypticz</v>
      </c>
      <c r="E9" t="str">
        <f ca="1"/>
        <v>Wamai</v>
      </c>
      <c r="F9" t="b">
        <f ca="1"/>
        <v>0</v>
      </c>
      <c r="G9" t="b">
        <f ca="1"/>
        <v>0</v>
      </c>
      <c r="H9" t="str">
        <f ca="1"/>
        <v>N/A</v>
      </c>
      <c r="I9" t="str">
        <f ca="1"/>
        <v>N/A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0</v>
      </c>
      <c r="P9">
        <f ca="1"/>
        <v>0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NOLOC</v>
      </c>
      <c r="BC9" t="b">
        <f ca="1"/>
        <v>0</v>
      </c>
      <c r="BD9" t="b">
        <f ca="1"/>
        <v>0</v>
      </c>
      <c r="BE9" t="b">
        <f ca="1"/>
        <v>0</v>
      </c>
      <c r="BF9" t="b">
        <f ca="1"/>
        <v>0</v>
      </c>
      <c r="BG9" t="b">
        <f ca="1"/>
        <v>0</v>
      </c>
      <c r="BH9" t="str">
        <f ca="1"/>
        <v>N/A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str">
        <f ca="1"/>
        <v/>
      </c>
      <c r="BQ9" t="str">
        <f ca="1"/>
        <v/>
      </c>
    </row>
    <row r="10" spans="1:69" x14ac:dyDescent="0.25">
      <c r="A10" t="str">
        <f ca="1"/>
        <v>8_22 Skyscraper_1</v>
      </c>
      <c r="B10">
        <f ca="1"/>
        <v>9</v>
      </c>
      <c r="C10" t="str">
        <f ca="1"/>
        <v>Defense</v>
      </c>
      <c r="D10" t="str">
        <f ca="1"/>
        <v>Krypticz</v>
      </c>
      <c r="E10" t="str">
        <f ca="1"/>
        <v>Alibi</v>
      </c>
      <c r="F10">
        <f ca="1"/>
        <v>11</v>
      </c>
      <c r="G10" t="str">
        <f ca="1"/>
        <v>Kiru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1</v>
      </c>
      <c r="M10" t="b">
        <f ca="1"/>
        <v>1</v>
      </c>
      <c r="N10">
        <f ca="1"/>
        <v>9</v>
      </c>
      <c r="O10">
        <f ca="1"/>
        <v>0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0</v>
      </c>
      <c r="U10">
        <f ca="1"/>
        <v>9</v>
      </c>
      <c r="V10" t="b">
        <f ca="1"/>
        <v>0</v>
      </c>
      <c r="W10" t="b">
        <f ca="1"/>
        <v>0</v>
      </c>
      <c r="X10" t="b">
        <f ca="1"/>
        <v>0</v>
      </c>
      <c r="Y10" t="b">
        <f ca="1"/>
        <v>0</v>
      </c>
      <c r="Z10" t="str">
        <f ca="1"/>
        <v>NOLOC</v>
      </c>
      <c r="AA10" t="b">
        <f ca="1"/>
        <v>0</v>
      </c>
      <c r="AB10" t="b">
        <f ca="1"/>
        <v>0</v>
      </c>
      <c r="AC10" t="b">
        <f ca="1"/>
        <v>0</v>
      </c>
      <c r="AD10" t="b">
        <f ca="1"/>
        <v>0</v>
      </c>
      <c r="AE10" t="b">
        <f ca="1"/>
        <v>0</v>
      </c>
      <c r="AF10" t="str">
        <f ca="1"/>
        <v>N/A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str">
        <f ca="1"/>
        <v/>
      </c>
      <c r="BQ10" t="str">
        <f ca="1"/>
        <v/>
      </c>
    </row>
    <row r="11" spans="1:69" x14ac:dyDescent="0.25">
      <c r="A11" t="str">
        <f ca="1"/>
        <v>8_22 Skyscraper_1</v>
      </c>
      <c r="B11">
        <f ca="1"/>
        <v>10</v>
      </c>
      <c r="C11" t="str">
        <f ca="1"/>
        <v>Defense</v>
      </c>
      <c r="D11" t="str">
        <f ca="1"/>
        <v>Krypticz</v>
      </c>
      <c r="E11" t="str">
        <f ca="1"/>
        <v>Melusi</v>
      </c>
      <c r="F11" t="b">
        <f ca="1"/>
        <v>0</v>
      </c>
      <c r="G11" t="b">
        <f ca="1"/>
        <v>0</v>
      </c>
      <c r="H11" t="str">
        <f ca="1"/>
        <v>N/A</v>
      </c>
      <c r="I11" t="str">
        <f ca="1"/>
        <v>N/A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0</v>
      </c>
      <c r="P11">
        <f ca="1"/>
        <v>0</v>
      </c>
      <c r="Q11">
        <f ca="1"/>
        <v>0</v>
      </c>
      <c r="R11">
        <f ca="1"/>
        <v>0</v>
      </c>
      <c r="S11" t="b">
        <f ca="1"/>
        <v>0</v>
      </c>
      <c r="T11" t="b">
        <f ca="1"/>
        <v>0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NOLOC</v>
      </c>
      <c r="AA11" t="b">
        <f ca="1"/>
        <v>0</v>
      </c>
      <c r="AB11" t="b">
        <f ca="1"/>
        <v>0</v>
      </c>
      <c r="AC11" t="b">
        <f ca="1"/>
        <v>0</v>
      </c>
      <c r="AD11" t="b">
        <f ca="1"/>
        <v>0</v>
      </c>
      <c r="AE11" t="b">
        <f ca="1"/>
        <v>0</v>
      </c>
      <c r="AF11" t="str">
        <f ca="1"/>
        <v>N/A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NOLOC</v>
      </c>
      <c r="AV11" t="b">
        <f ca="1"/>
        <v>0</v>
      </c>
      <c r="AW11" t="b">
        <f ca="1"/>
        <v>0</v>
      </c>
      <c r="AX11" t="b">
        <f ca="1"/>
        <v>0</v>
      </c>
      <c r="AY11" t="b">
        <f ca="1"/>
        <v>0</v>
      </c>
      <c r="AZ11" t="b">
        <f ca="1"/>
        <v>0</v>
      </c>
      <c r="BA11" t="str">
        <f ca="1"/>
        <v>N/A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str">
        <f ca="1"/>
        <v/>
      </c>
      <c r="BQ11" t="str">
        <f ca="1"/>
        <v/>
      </c>
    </row>
    <row r="12" spans="1:69" x14ac:dyDescent="0.25">
      <c r="A12" t="str">
        <f ca="1"/>
        <v>8_22 Skyscraper_1</v>
      </c>
      <c r="B12">
        <f ca="1"/>
        <v>11</v>
      </c>
      <c r="C12" t="str">
        <f ca="1"/>
        <v>Defense</v>
      </c>
      <c r="D12" t="str">
        <f ca="1"/>
        <v>Krypticz</v>
      </c>
      <c r="E12" t="str">
        <f ca="1"/>
        <v>Wamai</v>
      </c>
      <c r="F12">
        <f ca="1"/>
        <v>75</v>
      </c>
      <c r="G12" t="str">
        <f ca="1"/>
        <v>Snipey</v>
      </c>
      <c r="H12" t="b">
        <f ca="1"/>
        <v>0</v>
      </c>
      <c r="I12" t="b">
        <f ca="1"/>
        <v>0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0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str">
        <f ca="1"/>
        <v/>
      </c>
      <c r="BQ12" t="str">
        <f ca="1"/>
        <v/>
      </c>
    </row>
  </sheetData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9DA1C5-12AC-4A55-A14E-47AF21AA8EE2}">
  <sheetPr codeName="Sheet17"/>
  <dimension ref="A1:BQ12"/>
  <sheetViews>
    <sheetView zoomScale="55" zoomScaleNormal="55" workbookViewId="0">
      <selection sqref="A1:BQ1"/>
    </sheetView>
  </sheetViews>
  <sheetFormatPr defaultRowHeight="15" x14ac:dyDescent="0.25"/>
  <sheetData>
    <row r="1" spans="1:69" x14ac:dyDescent="0.25">
      <c r="A1" s="48" t="s">
        <v>326</v>
      </c>
      <c r="B1" s="16" t="s">
        <v>46</v>
      </c>
      <c r="C1" s="9" t="s">
        <v>55</v>
      </c>
      <c r="D1" s="21" t="s">
        <v>310</v>
      </c>
      <c r="E1" s="21" t="s">
        <v>323</v>
      </c>
      <c r="F1" s="21" t="s">
        <v>54</v>
      </c>
      <c r="G1" s="50" t="s">
        <v>62</v>
      </c>
      <c r="H1" s="50" t="s">
        <v>219</v>
      </c>
      <c r="I1" s="50" t="s">
        <v>220</v>
      </c>
      <c r="J1" s="50" t="s">
        <v>221</v>
      </c>
      <c r="K1" s="50" t="s">
        <v>245</v>
      </c>
      <c r="L1" s="50" t="s">
        <v>257</v>
      </c>
      <c r="M1" s="50" t="s">
        <v>258</v>
      </c>
      <c r="N1" s="51" t="s">
        <v>405</v>
      </c>
      <c r="O1" s="50" t="s">
        <v>9</v>
      </c>
      <c r="P1" s="50" t="s">
        <v>222</v>
      </c>
      <c r="Q1" s="50" t="s">
        <v>223</v>
      </c>
      <c r="R1" s="50" t="s">
        <v>246</v>
      </c>
      <c r="S1" s="50" t="s">
        <v>259</v>
      </c>
      <c r="T1" s="50" t="s">
        <v>260</v>
      </c>
      <c r="U1" s="51" t="s">
        <v>406</v>
      </c>
      <c r="V1" s="21" t="s">
        <v>324</v>
      </c>
      <c r="W1" s="50" t="s">
        <v>33</v>
      </c>
      <c r="X1" s="50" t="s">
        <v>66</v>
      </c>
      <c r="Y1" s="21" t="s">
        <v>35</v>
      </c>
      <c r="Z1" s="13" t="s">
        <v>60</v>
      </c>
      <c r="AA1" s="13" t="s">
        <v>340</v>
      </c>
      <c r="AB1" s="13" t="s">
        <v>311</v>
      </c>
      <c r="AC1" s="13" t="s">
        <v>312</v>
      </c>
      <c r="AD1" s="13" t="s">
        <v>41</v>
      </c>
      <c r="AE1" s="13" t="s">
        <v>338</v>
      </c>
      <c r="AF1" s="13" t="s">
        <v>339</v>
      </c>
      <c r="AG1" s="21" t="s">
        <v>61</v>
      </c>
      <c r="AH1" s="21" t="s">
        <v>423</v>
      </c>
      <c r="AI1" s="21" t="s">
        <v>313</v>
      </c>
      <c r="AJ1" s="21" t="s">
        <v>314</v>
      </c>
      <c r="AK1" s="21" t="s">
        <v>422</v>
      </c>
      <c r="AL1" s="21" t="s">
        <v>421</v>
      </c>
      <c r="AM1" s="21" t="s">
        <v>420</v>
      </c>
      <c r="AN1" s="13" t="s">
        <v>63</v>
      </c>
      <c r="AO1" s="13" t="s">
        <v>419</v>
      </c>
      <c r="AP1" s="13" t="s">
        <v>315</v>
      </c>
      <c r="AQ1" s="13" t="s">
        <v>316</v>
      </c>
      <c r="AR1" s="13" t="s">
        <v>418</v>
      </c>
      <c r="AS1" s="13" t="s">
        <v>417</v>
      </c>
      <c r="AT1" s="13" t="s">
        <v>416</v>
      </c>
      <c r="AU1" s="21" t="s">
        <v>64</v>
      </c>
      <c r="AV1" s="21" t="s">
        <v>415</v>
      </c>
      <c r="AW1" s="21" t="s">
        <v>317</v>
      </c>
      <c r="AX1" s="21" t="s">
        <v>318</v>
      </c>
      <c r="AY1" s="21" t="s">
        <v>414</v>
      </c>
      <c r="AZ1" s="21" t="s">
        <v>413</v>
      </c>
      <c r="BA1" s="21" t="s">
        <v>412</v>
      </c>
      <c r="BB1" s="13" t="s">
        <v>65</v>
      </c>
      <c r="BC1" s="13" t="s">
        <v>411</v>
      </c>
      <c r="BD1" s="13" t="s">
        <v>319</v>
      </c>
      <c r="BE1" s="13" t="s">
        <v>320</v>
      </c>
      <c r="BF1" s="13" t="s">
        <v>409</v>
      </c>
      <c r="BG1" s="13" t="s">
        <v>408</v>
      </c>
      <c r="BH1" s="13" t="s">
        <v>410</v>
      </c>
      <c r="BI1" s="16" t="s">
        <v>407</v>
      </c>
      <c r="BJ1" s="21" t="s">
        <v>249</v>
      </c>
      <c r="BK1" s="21" t="s">
        <v>250</v>
      </c>
      <c r="BL1" s="21" t="s">
        <v>58</v>
      </c>
      <c r="BM1" s="21" t="s">
        <v>57</v>
      </c>
      <c r="BN1" s="21" t="s">
        <v>42</v>
      </c>
      <c r="BO1" s="21" t="s">
        <v>43</v>
      </c>
      <c r="BP1" s="21" t="s">
        <v>247</v>
      </c>
      <c r="BQ1" s="21" t="s">
        <v>248</v>
      </c>
    </row>
    <row r="2" spans="1:69" x14ac:dyDescent="0.25">
      <c r="A2" t="str" cm="1">
        <f t="array" aca="1" ref="A2:BQ12" ca="1">pulloverall(REF!A10:A18,REF!A6,REF!A2:A7,REF!B2)</f>
        <v>8_22 Skyscraper_1</v>
      </c>
      <c r="B2">
        <f ca="1"/>
        <v>1</v>
      </c>
      <c r="C2" t="str">
        <f ca="1"/>
        <v>Attack</v>
      </c>
      <c r="D2" t="str">
        <f ca="1"/>
        <v>Aggro</v>
      </c>
      <c r="E2" t="str">
        <f ca="1"/>
        <v>Maverick</v>
      </c>
      <c r="F2" t="b">
        <f ca="1"/>
        <v>0</v>
      </c>
      <c r="G2" t="b">
        <f ca="1"/>
        <v>0</v>
      </c>
      <c r="H2" t="str">
        <f ca="1"/>
        <v>N/A</v>
      </c>
      <c r="I2" t="str">
        <f ca="1"/>
        <v>N/A</v>
      </c>
      <c r="J2" t="b">
        <f ca="1"/>
        <v>0</v>
      </c>
      <c r="K2" t="str">
        <f ca="1"/>
        <v>NOLOC</v>
      </c>
      <c r="L2" t="b">
        <f ca="1"/>
        <v>0</v>
      </c>
      <c r="M2" t="b">
        <f ca="1"/>
        <v>0</v>
      </c>
      <c r="N2">
        <f ca="1"/>
        <v>1</v>
      </c>
      <c r="O2">
        <f ca="1"/>
        <v>1</v>
      </c>
      <c r="P2">
        <f ca="1"/>
        <v>1</v>
      </c>
      <c r="Q2">
        <f ca="1"/>
        <v>0</v>
      </c>
      <c r="R2">
        <f ca="1"/>
        <v>0</v>
      </c>
      <c r="S2" t="b">
        <f ca="1"/>
        <v>1</v>
      </c>
      <c r="T2" t="b">
        <f ca="1"/>
        <v>1</v>
      </c>
      <c r="U2">
        <f ca="1"/>
        <v>1</v>
      </c>
      <c r="V2" t="b">
        <f ca="1"/>
        <v>0</v>
      </c>
      <c r="W2" t="b">
        <f ca="1"/>
        <v>1</v>
      </c>
      <c r="X2" t="b">
        <f ca="1"/>
        <v>0</v>
      </c>
      <c r="Y2" t="b">
        <f ca="1"/>
        <v>0</v>
      </c>
      <c r="Z2" t="str">
        <f ca="1"/>
        <v>UNKNOWN</v>
      </c>
      <c r="AA2" t="b">
        <f ca="1"/>
        <v>0</v>
      </c>
      <c r="AB2" t="str">
        <f ca="1"/>
        <v>Floofs</v>
      </c>
      <c r="AC2">
        <f ca="1"/>
        <v>57</v>
      </c>
      <c r="AD2" t="b">
        <f ca="1"/>
        <v>0</v>
      </c>
      <c r="AE2" t="b">
        <f ca="1"/>
        <v>1</v>
      </c>
      <c r="AF2" t="b">
        <f ca="1"/>
        <v>0</v>
      </c>
      <c r="AG2" t="str">
        <f ca="1"/>
        <v>NOLOC</v>
      </c>
      <c r="AH2" t="b">
        <f ca="1"/>
        <v>0</v>
      </c>
      <c r="AI2" t="b">
        <f ca="1"/>
        <v>0</v>
      </c>
      <c r="AJ2" t="b">
        <f ca="1"/>
        <v>0</v>
      </c>
      <c r="AK2" t="b">
        <f ca="1"/>
        <v>0</v>
      </c>
      <c r="AL2" t="b">
        <f ca="1"/>
        <v>0</v>
      </c>
      <c r="AM2" t="str">
        <f ca="1"/>
        <v>N/A</v>
      </c>
      <c r="AN2" t="str">
        <f ca="1"/>
        <v>NOLOC</v>
      </c>
      <c r="AO2" t="b">
        <f ca="1"/>
        <v>0</v>
      </c>
      <c r="AP2" t="b">
        <f ca="1"/>
        <v>0</v>
      </c>
      <c r="AQ2" t="b">
        <f ca="1"/>
        <v>0</v>
      </c>
      <c r="AR2" t="b">
        <f ca="1"/>
        <v>0</v>
      </c>
      <c r="AS2" t="b">
        <f ca="1"/>
        <v>0</v>
      </c>
      <c r="AT2" t="str">
        <f ca="1"/>
        <v>N/A</v>
      </c>
      <c r="AU2" t="str">
        <f ca="1"/>
        <v>NOLOC</v>
      </c>
      <c r="AV2" t="b">
        <f ca="1"/>
        <v>0</v>
      </c>
      <c r="AW2" t="b">
        <f ca="1"/>
        <v>0</v>
      </c>
      <c r="AX2" t="b">
        <f ca="1"/>
        <v>0</v>
      </c>
      <c r="AY2" t="b">
        <f ca="1"/>
        <v>0</v>
      </c>
      <c r="AZ2" t="b">
        <f ca="1"/>
        <v>0</v>
      </c>
      <c r="BA2" t="str">
        <f ca="1"/>
        <v>N/A</v>
      </c>
      <c r="BB2" t="str">
        <f ca="1"/>
        <v>NOLOC</v>
      </c>
      <c r="BC2" t="b">
        <f ca="1"/>
        <v>0</v>
      </c>
      <c r="BD2" t="b">
        <f ca="1"/>
        <v>0</v>
      </c>
      <c r="BE2" t="b">
        <f ca="1"/>
        <v>0</v>
      </c>
      <c r="BF2" t="b">
        <f ca="1"/>
        <v>0</v>
      </c>
      <c r="BG2" t="b">
        <f ca="1"/>
        <v>0</v>
      </c>
      <c r="BH2" t="str">
        <f ca="1"/>
        <v>N/A</v>
      </c>
      <c r="BI2">
        <f ca="1"/>
        <v>1</v>
      </c>
      <c r="BJ2">
        <f ca="1"/>
        <v>0</v>
      </c>
      <c r="BK2">
        <f ca="1"/>
        <v>0</v>
      </c>
      <c r="BL2" t="str">
        <f ca="1"/>
        <v>NODATA</v>
      </c>
      <c r="BM2" t="str">
        <f ca="1"/>
        <v>NODATA</v>
      </c>
      <c r="BN2" t="str">
        <f ca="1"/>
        <v>NODATA</v>
      </c>
      <c r="BO2" t="str">
        <f ca="1"/>
        <v>NODATA</v>
      </c>
      <c r="BP2" t="b">
        <f ca="1"/>
        <v>0</v>
      </c>
      <c r="BQ2" t="b">
        <f ca="1"/>
        <v>0</v>
      </c>
    </row>
    <row r="3" spans="1:69" x14ac:dyDescent="0.25">
      <c r="A3" t="str">
        <f ca="1"/>
        <v>8_22 Skyscraper_1</v>
      </c>
      <c r="B3">
        <f ca="1"/>
        <v>2</v>
      </c>
      <c r="C3" t="str">
        <f ca="1"/>
        <v>Attack</v>
      </c>
      <c r="D3" t="str">
        <f ca="1"/>
        <v>Aggro</v>
      </c>
      <c r="E3" t="str">
        <f ca="1"/>
        <v>Jackal</v>
      </c>
      <c r="F3" t="b">
        <f ca="1"/>
        <v>0</v>
      </c>
      <c r="G3" t="b">
        <f ca="1"/>
        <v>0</v>
      </c>
      <c r="H3" t="str">
        <f ca="1"/>
        <v>N/A</v>
      </c>
      <c r="I3" t="str">
        <f ca="1"/>
        <v>N/A</v>
      </c>
      <c r="J3" t="b">
        <f ca="1"/>
        <v>0</v>
      </c>
      <c r="K3" t="str">
        <f ca="1"/>
        <v>NOLOC</v>
      </c>
      <c r="L3" t="b">
        <f ca="1"/>
        <v>0</v>
      </c>
      <c r="M3" t="b">
        <f ca="1"/>
        <v>0</v>
      </c>
      <c r="N3">
        <f ca="1"/>
        <v>2</v>
      </c>
      <c r="O3">
        <f ca="1"/>
        <v>2</v>
      </c>
      <c r="P3">
        <f ca="1"/>
        <v>2</v>
      </c>
      <c r="Q3">
        <f ca="1"/>
        <v>0</v>
      </c>
      <c r="R3">
        <f ca="1"/>
        <v>0</v>
      </c>
      <c r="S3" t="b">
        <f ca="1"/>
        <v>1</v>
      </c>
      <c r="T3" t="b">
        <f ca="1"/>
        <v>1</v>
      </c>
      <c r="U3">
        <f ca="1"/>
        <v>2</v>
      </c>
      <c r="V3" t="b">
        <f ca="1"/>
        <v>0</v>
      </c>
      <c r="W3" t="b">
        <f ca="1"/>
        <v>1</v>
      </c>
      <c r="X3" t="b">
        <f ca="1"/>
        <v>0</v>
      </c>
      <c r="Y3" t="b">
        <f ca="1"/>
        <v>0</v>
      </c>
      <c r="Z3" t="str">
        <f ca="1"/>
        <v>UNKNOWN</v>
      </c>
      <c r="AA3" t="b">
        <f ca="1"/>
        <v>0</v>
      </c>
      <c r="AB3" t="str">
        <f ca="1"/>
        <v>Snipey</v>
      </c>
      <c r="AC3">
        <f ca="1"/>
        <v>49</v>
      </c>
      <c r="AD3" t="b">
        <f ca="1"/>
        <v>0</v>
      </c>
      <c r="AE3" t="b">
        <f ca="1"/>
        <v>1</v>
      </c>
      <c r="AF3" t="b">
        <f ca="1"/>
        <v>0</v>
      </c>
      <c r="AG3" t="str">
        <f ca="1"/>
        <v>UNKNOWN</v>
      </c>
      <c r="AH3" t="b">
        <f ca="1"/>
        <v>0</v>
      </c>
      <c r="AI3" t="str">
        <f ca="1"/>
        <v>Kiru</v>
      </c>
      <c r="AJ3">
        <f ca="1"/>
        <v>69</v>
      </c>
      <c r="AK3" t="b">
        <f ca="1"/>
        <v>0</v>
      </c>
      <c r="AL3" t="b">
        <f ca="1"/>
        <v>1</v>
      </c>
      <c r="AM3" t="b">
        <f ca="1"/>
        <v>0</v>
      </c>
      <c r="AN3" t="str">
        <f ca="1"/>
        <v>NOLOC</v>
      </c>
      <c r="AO3" t="b">
        <f ca="1"/>
        <v>0</v>
      </c>
      <c r="AP3" t="b">
        <f ca="1"/>
        <v>0</v>
      </c>
      <c r="AQ3" t="b">
        <f ca="1"/>
        <v>0</v>
      </c>
      <c r="AR3" t="b">
        <f ca="1"/>
        <v>0</v>
      </c>
      <c r="AS3" t="b">
        <f ca="1"/>
        <v>0</v>
      </c>
      <c r="AT3" t="str">
        <f ca="1"/>
        <v>N/A</v>
      </c>
      <c r="AU3" t="str">
        <f ca="1"/>
        <v>NOLOC</v>
      </c>
      <c r="AV3" t="b">
        <f ca="1"/>
        <v>0</v>
      </c>
      <c r="AW3" t="b">
        <f ca="1"/>
        <v>0</v>
      </c>
      <c r="AX3" t="b">
        <f ca="1"/>
        <v>0</v>
      </c>
      <c r="AY3" t="b">
        <f ca="1"/>
        <v>0</v>
      </c>
      <c r="AZ3" t="b">
        <f ca="1"/>
        <v>0</v>
      </c>
      <c r="BA3" t="str">
        <f ca="1"/>
        <v>N/A</v>
      </c>
      <c r="BB3" t="str">
        <f ca="1"/>
        <v>NOLOC</v>
      </c>
      <c r="BC3" t="b">
        <f ca="1"/>
        <v>0</v>
      </c>
      <c r="BD3" t="b">
        <f ca="1"/>
        <v>0</v>
      </c>
      <c r="BE3" t="b">
        <f ca="1"/>
        <v>0</v>
      </c>
      <c r="BF3" t="b">
        <f ca="1"/>
        <v>0</v>
      </c>
      <c r="BG3" t="b">
        <f ca="1"/>
        <v>0</v>
      </c>
      <c r="BH3" t="str">
        <f ca="1"/>
        <v>N/A</v>
      </c>
      <c r="BI3">
        <f ca="1"/>
        <v>2</v>
      </c>
      <c r="BJ3">
        <f ca="1"/>
        <v>0</v>
      </c>
      <c r="BK3">
        <f ca="1"/>
        <v>0</v>
      </c>
      <c r="BL3" t="str">
        <f ca="1"/>
        <v>NODATA</v>
      </c>
      <c r="BM3" t="str">
        <f ca="1"/>
        <v>NODATA</v>
      </c>
      <c r="BN3" t="str">
        <f ca="1"/>
        <v>NODATA</v>
      </c>
      <c r="BO3" t="str">
        <f ca="1"/>
        <v>NODATA</v>
      </c>
      <c r="BP3" t="b">
        <f ca="1"/>
        <v>0</v>
      </c>
      <c r="BQ3" t="b">
        <f ca="1"/>
        <v>0</v>
      </c>
    </row>
    <row r="4" spans="1:69" x14ac:dyDescent="0.25">
      <c r="A4" t="str">
        <f ca="1"/>
        <v>8_22 Skyscraper_1</v>
      </c>
      <c r="B4">
        <f ca="1"/>
        <v>3</v>
      </c>
      <c r="C4" t="str">
        <f ca="1"/>
        <v>Attack</v>
      </c>
      <c r="D4" t="str">
        <f ca="1"/>
        <v>Aggro</v>
      </c>
      <c r="E4" t="str">
        <f ca="1"/>
        <v>Ace</v>
      </c>
      <c r="F4">
        <f ca="1"/>
        <v>158</v>
      </c>
      <c r="G4" t="str">
        <f ca="1"/>
        <v>Floofs</v>
      </c>
      <c r="H4" t="b">
        <f ca="1"/>
        <v>0</v>
      </c>
      <c r="I4" t="b">
        <f ca="1"/>
        <v>0</v>
      </c>
      <c r="J4" t="b">
        <f ca="1"/>
        <v>0</v>
      </c>
      <c r="K4" t="str">
        <f ca="1"/>
        <v>NOLOC</v>
      </c>
      <c r="L4" t="b">
        <f ca="1"/>
        <v>0</v>
      </c>
      <c r="M4" t="b">
        <f ca="1"/>
        <v>0</v>
      </c>
      <c r="N4">
        <f ca="1"/>
        <v>3</v>
      </c>
      <c r="O4">
        <f ca="1"/>
        <v>0</v>
      </c>
      <c r="P4">
        <f ca="1"/>
        <v>0</v>
      </c>
      <c r="Q4">
        <f ca="1"/>
        <v>0</v>
      </c>
      <c r="R4">
        <f ca="1"/>
        <v>0</v>
      </c>
      <c r="S4" t="b">
        <f ca="1"/>
        <v>0</v>
      </c>
      <c r="T4" t="b">
        <f ca="1"/>
        <v>0</v>
      </c>
      <c r="U4">
        <f ca="1"/>
        <v>3</v>
      </c>
      <c r="V4" t="b">
        <f ca="1"/>
        <v>0</v>
      </c>
      <c r="W4" t="b">
        <f ca="1"/>
        <v>0</v>
      </c>
      <c r="X4" t="b">
        <f ca="1"/>
        <v>0</v>
      </c>
      <c r="Y4" t="b">
        <f ca="1"/>
        <v>0</v>
      </c>
      <c r="Z4" t="str">
        <f ca="1"/>
        <v>NOLOC</v>
      </c>
      <c r="AA4" t="b">
        <f ca="1"/>
        <v>0</v>
      </c>
      <c r="AB4" t="b">
        <f ca="1"/>
        <v>0</v>
      </c>
      <c r="AC4" t="b">
        <f ca="1"/>
        <v>0</v>
      </c>
      <c r="AD4" t="b">
        <f ca="1"/>
        <v>0</v>
      </c>
      <c r="AE4" t="b">
        <f ca="1"/>
        <v>0</v>
      </c>
      <c r="AF4" t="str">
        <f ca="1"/>
        <v>N/A</v>
      </c>
      <c r="AG4" t="str">
        <f ca="1"/>
        <v>NOLOC</v>
      </c>
      <c r="AH4" t="b">
        <f ca="1"/>
        <v>0</v>
      </c>
      <c r="AI4" t="b">
        <f ca="1"/>
        <v>0</v>
      </c>
      <c r="AJ4" t="b">
        <f ca="1"/>
        <v>0</v>
      </c>
      <c r="AK4" t="b">
        <f ca="1"/>
        <v>0</v>
      </c>
      <c r="AL4" t="b">
        <f ca="1"/>
        <v>0</v>
      </c>
      <c r="AM4" t="str">
        <f ca="1"/>
        <v>N/A</v>
      </c>
      <c r="AN4" t="str">
        <f ca="1"/>
        <v>NOLOC</v>
      </c>
      <c r="AO4" t="b">
        <f ca="1"/>
        <v>0</v>
      </c>
      <c r="AP4" t="b">
        <f ca="1"/>
        <v>0</v>
      </c>
      <c r="AQ4" t="b">
        <f ca="1"/>
        <v>0</v>
      </c>
      <c r="AR4" t="b">
        <f ca="1"/>
        <v>0</v>
      </c>
      <c r="AS4" t="b">
        <f ca="1"/>
        <v>0</v>
      </c>
      <c r="AT4" t="str">
        <f ca="1"/>
        <v>N/A</v>
      </c>
      <c r="AU4" t="str">
        <f ca="1"/>
        <v>NOLOC</v>
      </c>
      <c r="AV4" t="b">
        <f ca="1"/>
        <v>0</v>
      </c>
      <c r="AW4" t="b">
        <f ca="1"/>
        <v>0</v>
      </c>
      <c r="AX4" t="b">
        <f ca="1"/>
        <v>0</v>
      </c>
      <c r="AY4" t="b">
        <f ca="1"/>
        <v>0</v>
      </c>
      <c r="AZ4" t="b">
        <f ca="1"/>
        <v>0</v>
      </c>
      <c r="BA4" t="str">
        <f ca="1"/>
        <v>N/A</v>
      </c>
      <c r="BB4" t="str">
        <f ca="1"/>
        <v>NOLOC</v>
      </c>
      <c r="BC4" t="b">
        <f ca="1"/>
        <v>0</v>
      </c>
      <c r="BD4" t="b">
        <f ca="1"/>
        <v>0</v>
      </c>
      <c r="BE4" t="b">
        <f ca="1"/>
        <v>0</v>
      </c>
      <c r="BF4" t="b">
        <f ca="1"/>
        <v>0</v>
      </c>
      <c r="BG4" t="b">
        <f ca="1"/>
        <v>0</v>
      </c>
      <c r="BH4" t="str">
        <f ca="1"/>
        <v>N/A</v>
      </c>
      <c r="BI4">
        <f ca="1"/>
        <v>3</v>
      </c>
      <c r="BJ4">
        <f ca="1"/>
        <v>0</v>
      </c>
      <c r="BK4">
        <f ca="1"/>
        <v>0</v>
      </c>
      <c r="BL4" t="str">
        <f ca="1"/>
        <v>NODATA</v>
      </c>
      <c r="BM4" t="str">
        <f ca="1"/>
        <v>NODATA</v>
      </c>
      <c r="BN4" t="str">
        <f ca="1"/>
        <v>NODATA</v>
      </c>
      <c r="BO4" t="str">
        <f ca="1"/>
        <v>NODATA</v>
      </c>
      <c r="BP4" t="b">
        <f ca="1"/>
        <v>0</v>
      </c>
      <c r="BQ4" t="b">
        <f ca="1"/>
        <v>0</v>
      </c>
    </row>
    <row r="5" spans="1:69" x14ac:dyDescent="0.25">
      <c r="A5" t="str">
        <f ca="1"/>
        <v>8_22 Skyscraper_1</v>
      </c>
      <c r="B5">
        <f ca="1"/>
        <v>4</v>
      </c>
      <c r="C5" t="str">
        <f ca="1"/>
        <v>Attack</v>
      </c>
      <c r="D5" t="str">
        <f ca="1"/>
        <v>Aggro</v>
      </c>
      <c r="E5" t="str">
        <f ca="1"/>
        <v>Jackal</v>
      </c>
      <c r="F5">
        <f ca="1"/>
        <v>16</v>
      </c>
      <c r="G5" t="str">
        <f ca="1"/>
        <v>Kiru</v>
      </c>
      <c r="H5" t="b">
        <f ca="1"/>
        <v>0</v>
      </c>
      <c r="I5" t="b">
        <f ca="1"/>
        <v>1</v>
      </c>
      <c r="J5" t="b">
        <f ca="1"/>
        <v>0</v>
      </c>
      <c r="K5" t="str">
        <f ca="1"/>
        <v>NOLOC</v>
      </c>
      <c r="L5" t="b">
        <f ca="1"/>
        <v>1</v>
      </c>
      <c r="M5" t="b">
        <f ca="1"/>
        <v>1</v>
      </c>
      <c r="N5">
        <f ca="1"/>
        <v>4</v>
      </c>
      <c r="O5">
        <f ca="1"/>
        <v>1</v>
      </c>
      <c r="P5">
        <f ca="1"/>
        <v>1</v>
      </c>
      <c r="Q5">
        <f ca="1"/>
        <v>0</v>
      </c>
      <c r="R5">
        <f ca="1"/>
        <v>0</v>
      </c>
      <c r="S5" t="b">
        <f ca="1"/>
        <v>0</v>
      </c>
      <c r="T5" t="b">
        <f ca="1"/>
        <v>0</v>
      </c>
      <c r="U5">
        <f ca="1"/>
        <v>4</v>
      </c>
      <c r="V5" t="b">
        <f ca="1"/>
        <v>0</v>
      </c>
      <c r="W5" t="b">
        <f ca="1"/>
        <v>1</v>
      </c>
      <c r="X5" t="b">
        <f ca="1"/>
        <v>0</v>
      </c>
      <c r="Y5" t="b">
        <f ca="1"/>
        <v>0</v>
      </c>
      <c r="Z5" t="str">
        <f ca="1"/>
        <v>NOLOC</v>
      </c>
      <c r="AA5" t="b">
        <f ca="1"/>
        <v>0</v>
      </c>
      <c r="AB5" t="b">
        <f ca="1"/>
        <v>0</v>
      </c>
      <c r="AC5" t="b">
        <f ca="1"/>
        <v>0</v>
      </c>
      <c r="AD5" t="b">
        <f ca="1"/>
        <v>0</v>
      </c>
      <c r="AE5" t="b">
        <f ca="1"/>
        <v>0</v>
      </c>
      <c r="AF5" t="str">
        <f ca="1"/>
        <v>N/A</v>
      </c>
      <c r="AG5" t="str">
        <f ca="1"/>
        <v>UNKNOWN</v>
      </c>
      <c r="AH5" t="b">
        <f ca="1"/>
        <v>0</v>
      </c>
      <c r="AI5" t="str">
        <f ca="1"/>
        <v>Kouiyn</v>
      </c>
      <c r="AJ5">
        <f ca="1"/>
        <v>113</v>
      </c>
      <c r="AK5" t="b">
        <f ca="1"/>
        <v>0</v>
      </c>
      <c r="AL5" t="b">
        <f ca="1"/>
        <v>1</v>
      </c>
      <c r="AM5" t="b">
        <f ca="1"/>
        <v>0</v>
      </c>
      <c r="AN5" t="str">
        <f ca="1"/>
        <v>NOLOC</v>
      </c>
      <c r="AO5" t="b">
        <f ca="1"/>
        <v>0</v>
      </c>
      <c r="AP5" t="b">
        <f ca="1"/>
        <v>0</v>
      </c>
      <c r="AQ5" t="b">
        <f ca="1"/>
        <v>0</v>
      </c>
      <c r="AR5" t="b">
        <f ca="1"/>
        <v>0</v>
      </c>
      <c r="AS5" t="b">
        <f ca="1"/>
        <v>0</v>
      </c>
      <c r="AT5" t="str">
        <f ca="1"/>
        <v>N/A</v>
      </c>
      <c r="AU5" t="str">
        <f ca="1"/>
        <v>NOLOC</v>
      </c>
      <c r="AV5" t="b">
        <f ca="1"/>
        <v>0</v>
      </c>
      <c r="AW5" t="b">
        <f ca="1"/>
        <v>0</v>
      </c>
      <c r="AX5" t="b">
        <f ca="1"/>
        <v>0</v>
      </c>
      <c r="AY5" t="b">
        <f ca="1"/>
        <v>0</v>
      </c>
      <c r="AZ5" t="b">
        <f ca="1"/>
        <v>0</v>
      </c>
      <c r="BA5" t="str">
        <f ca="1"/>
        <v>N/A</v>
      </c>
      <c r="BB5" t="str">
        <f ca="1"/>
        <v>NOLOC</v>
      </c>
      <c r="BC5" t="b">
        <f ca="1"/>
        <v>0</v>
      </c>
      <c r="BD5" t="b">
        <f ca="1"/>
        <v>0</v>
      </c>
      <c r="BE5" t="b">
        <f ca="1"/>
        <v>0</v>
      </c>
      <c r="BF5" t="b">
        <f ca="1"/>
        <v>0</v>
      </c>
      <c r="BG5" t="b">
        <f ca="1"/>
        <v>0</v>
      </c>
      <c r="BH5" t="str">
        <f ca="1"/>
        <v>N/A</v>
      </c>
      <c r="BI5">
        <f ca="1"/>
        <v>4</v>
      </c>
      <c r="BJ5">
        <f ca="1"/>
        <v>0</v>
      </c>
      <c r="BK5">
        <f ca="1"/>
        <v>0</v>
      </c>
      <c r="BL5" t="str">
        <f ca="1"/>
        <v>NODATA</v>
      </c>
      <c r="BM5" t="str">
        <f ca="1"/>
        <v>NODATA</v>
      </c>
      <c r="BN5" t="str">
        <f ca="1"/>
        <v>NODATA</v>
      </c>
      <c r="BO5" t="str">
        <f ca="1"/>
        <v>NODATA</v>
      </c>
      <c r="BP5" t="b">
        <f ca="1"/>
        <v>0</v>
      </c>
      <c r="BQ5" t="b">
        <f ca="1"/>
        <v>0</v>
      </c>
    </row>
    <row r="6" spans="1:69" x14ac:dyDescent="0.25">
      <c r="A6" t="str">
        <f ca="1"/>
        <v>8_22 Skyscraper_1</v>
      </c>
      <c r="B6">
        <f ca="1"/>
        <v>5</v>
      </c>
      <c r="C6" t="str">
        <f ca="1"/>
        <v>Attack</v>
      </c>
      <c r="D6" t="str">
        <f ca="1"/>
        <v>Aggro</v>
      </c>
      <c r="E6" t="str">
        <f ca="1"/>
        <v>Nokk</v>
      </c>
      <c r="F6">
        <f ca="1"/>
        <v>142</v>
      </c>
      <c r="G6" t="str">
        <f ca="1"/>
        <v>Floofs</v>
      </c>
      <c r="H6" t="b">
        <f ca="1"/>
        <v>0</v>
      </c>
      <c r="I6" t="b">
        <f ca="1"/>
        <v>0</v>
      </c>
      <c r="J6" t="b">
        <f ca="1"/>
        <v>0</v>
      </c>
      <c r="K6" t="str">
        <f ca="1"/>
        <v>NOLOC</v>
      </c>
      <c r="L6" t="b">
        <f ca="1"/>
        <v>0</v>
      </c>
      <c r="M6" t="b">
        <f ca="1"/>
        <v>0</v>
      </c>
      <c r="N6">
        <f ca="1"/>
        <v>5</v>
      </c>
      <c r="O6">
        <f ca="1"/>
        <v>0</v>
      </c>
      <c r="P6">
        <f ca="1"/>
        <v>0</v>
      </c>
      <c r="Q6">
        <f ca="1"/>
        <v>0</v>
      </c>
      <c r="R6">
        <f ca="1"/>
        <v>0</v>
      </c>
      <c r="S6" t="b">
        <f ca="1"/>
        <v>0</v>
      </c>
      <c r="T6" t="b">
        <f ca="1"/>
        <v>0</v>
      </c>
      <c r="U6">
        <f ca="1"/>
        <v>5</v>
      </c>
      <c r="V6" t="b">
        <f ca="1"/>
        <v>0</v>
      </c>
      <c r="W6" t="b">
        <f ca="1"/>
        <v>0</v>
      </c>
      <c r="X6" t="b">
        <f ca="1"/>
        <v>0</v>
      </c>
      <c r="Y6" t="b">
        <f ca="1"/>
        <v>0</v>
      </c>
      <c r="Z6" t="str">
        <f ca="1"/>
        <v>NOLOC</v>
      </c>
      <c r="AA6" t="b">
        <f ca="1"/>
        <v>0</v>
      </c>
      <c r="AB6" t="b">
        <f ca="1"/>
        <v>0</v>
      </c>
      <c r="AC6" t="b">
        <f ca="1"/>
        <v>0</v>
      </c>
      <c r="AD6" t="b">
        <f ca="1"/>
        <v>0</v>
      </c>
      <c r="AE6" t="b">
        <f ca="1"/>
        <v>0</v>
      </c>
      <c r="AF6" t="str">
        <f ca="1"/>
        <v>N/A</v>
      </c>
      <c r="AG6" t="str">
        <f ca="1"/>
        <v>NOLOC</v>
      </c>
      <c r="AH6" t="b">
        <f ca="1"/>
        <v>0</v>
      </c>
      <c r="AI6" t="b">
        <f ca="1"/>
        <v>0</v>
      </c>
      <c r="AJ6" t="b">
        <f ca="1"/>
        <v>0</v>
      </c>
      <c r="AK6" t="b">
        <f ca="1"/>
        <v>0</v>
      </c>
      <c r="AL6" t="b">
        <f ca="1"/>
        <v>0</v>
      </c>
      <c r="AM6" t="str">
        <f ca="1"/>
        <v>N/A</v>
      </c>
      <c r="AN6" t="str">
        <f ca="1"/>
        <v>NOLOC</v>
      </c>
      <c r="AO6" t="b">
        <f ca="1"/>
        <v>0</v>
      </c>
      <c r="AP6" t="b">
        <f ca="1"/>
        <v>0</v>
      </c>
      <c r="AQ6" t="b">
        <f ca="1"/>
        <v>0</v>
      </c>
      <c r="AR6" t="b">
        <f ca="1"/>
        <v>0</v>
      </c>
      <c r="AS6" t="b">
        <f ca="1"/>
        <v>0</v>
      </c>
      <c r="AT6" t="str">
        <f ca="1"/>
        <v>N/A</v>
      </c>
      <c r="AU6" t="str">
        <f ca="1"/>
        <v>NOLOC</v>
      </c>
      <c r="AV6" t="b">
        <f ca="1"/>
        <v>0</v>
      </c>
      <c r="AW6" t="b">
        <f ca="1"/>
        <v>0</v>
      </c>
      <c r="AX6" t="b">
        <f ca="1"/>
        <v>0</v>
      </c>
      <c r="AY6" t="b">
        <f ca="1"/>
        <v>0</v>
      </c>
      <c r="AZ6" t="b">
        <f ca="1"/>
        <v>0</v>
      </c>
      <c r="BA6" t="str">
        <f ca="1"/>
        <v>N/A</v>
      </c>
      <c r="BB6" t="str">
        <f ca="1"/>
        <v>NOLOC</v>
      </c>
      <c r="BC6" t="b">
        <f ca="1"/>
        <v>0</v>
      </c>
      <c r="BD6" t="b">
        <f ca="1"/>
        <v>0</v>
      </c>
      <c r="BE6" t="b">
        <f ca="1"/>
        <v>0</v>
      </c>
      <c r="BF6" t="b">
        <f ca="1"/>
        <v>0</v>
      </c>
      <c r="BG6" t="b">
        <f ca="1"/>
        <v>0</v>
      </c>
      <c r="BH6" t="str">
        <f ca="1"/>
        <v>N/A</v>
      </c>
      <c r="BI6">
        <f ca="1"/>
        <v>5</v>
      </c>
      <c r="BJ6">
        <f ca="1"/>
        <v>0</v>
      </c>
      <c r="BK6">
        <f ca="1"/>
        <v>0</v>
      </c>
      <c r="BL6" t="str">
        <f ca="1"/>
        <v>NODATA</v>
      </c>
      <c r="BM6" t="str">
        <f ca="1"/>
        <v>NODATA</v>
      </c>
      <c r="BN6" t="str">
        <f ca="1"/>
        <v>NODATA</v>
      </c>
      <c r="BO6" t="str">
        <f ca="1"/>
        <v>NODATA</v>
      </c>
      <c r="BP6" t="b">
        <f ca="1"/>
        <v>0</v>
      </c>
      <c r="BQ6" t="b">
        <f ca="1"/>
        <v>0</v>
      </c>
    </row>
    <row r="7" spans="1:69" x14ac:dyDescent="0.25">
      <c r="A7" t="str">
        <f ca="1"/>
        <v>8_22 Skyscraper_1</v>
      </c>
      <c r="B7">
        <f ca="1"/>
        <v>6</v>
      </c>
      <c r="C7" t="str">
        <f ca="1"/>
        <v>Attack</v>
      </c>
      <c r="D7" t="str">
        <f ca="1"/>
        <v>Aggro</v>
      </c>
      <c r="E7" t="str">
        <f ca="1"/>
        <v>Buck</v>
      </c>
      <c r="F7">
        <f ca="1"/>
        <v>80</v>
      </c>
      <c r="G7" t="str">
        <f ca="1"/>
        <v>Floofs</v>
      </c>
      <c r="H7" t="b">
        <f ca="1"/>
        <v>0</v>
      </c>
      <c r="I7" t="b">
        <f ca="1"/>
        <v>0</v>
      </c>
      <c r="J7" t="b">
        <f ca="1"/>
        <v>0</v>
      </c>
      <c r="K7" t="str">
        <f ca="1"/>
        <v>NOLOC</v>
      </c>
      <c r="L7" t="b">
        <f ca="1"/>
        <v>0</v>
      </c>
      <c r="M7" t="b">
        <f ca="1"/>
        <v>1</v>
      </c>
      <c r="N7">
        <f ca="1"/>
        <v>6</v>
      </c>
      <c r="O7">
        <f ca="1"/>
        <v>0</v>
      </c>
      <c r="P7">
        <f ca="1"/>
        <v>0</v>
      </c>
      <c r="Q7">
        <f ca="1"/>
        <v>0</v>
      </c>
      <c r="R7">
        <f ca="1"/>
        <v>0</v>
      </c>
      <c r="S7" t="b">
        <f ca="1"/>
        <v>0</v>
      </c>
      <c r="T7" t="b">
        <f ca="1"/>
        <v>0</v>
      </c>
      <c r="U7">
        <f ca="1"/>
        <v>6</v>
      </c>
      <c r="V7" t="b">
        <f ca="1"/>
        <v>0</v>
      </c>
      <c r="W7" t="b">
        <f ca="1"/>
        <v>0</v>
      </c>
      <c r="X7" t="b">
        <f ca="1"/>
        <v>0</v>
      </c>
      <c r="Y7" t="b">
        <f ca="1"/>
        <v>0</v>
      </c>
      <c r="Z7" t="str">
        <f ca="1"/>
        <v>NOLOC</v>
      </c>
      <c r="AA7" t="b">
        <f ca="1"/>
        <v>0</v>
      </c>
      <c r="AB7" t="b">
        <f ca="1"/>
        <v>0</v>
      </c>
      <c r="AC7" t="b">
        <f ca="1"/>
        <v>0</v>
      </c>
      <c r="AD7" t="b">
        <f ca="1"/>
        <v>0</v>
      </c>
      <c r="AE7" t="b">
        <f ca="1"/>
        <v>0</v>
      </c>
      <c r="AF7" t="str">
        <f ca="1"/>
        <v>N/A</v>
      </c>
      <c r="AG7" t="str">
        <f ca="1"/>
        <v>NOLOC</v>
      </c>
      <c r="AH7" t="b">
        <f ca="1"/>
        <v>0</v>
      </c>
      <c r="AI7" t="b">
        <f ca="1"/>
        <v>0</v>
      </c>
      <c r="AJ7" t="b">
        <f ca="1"/>
        <v>0</v>
      </c>
      <c r="AK7" t="b">
        <f ca="1"/>
        <v>0</v>
      </c>
      <c r="AL7" t="b">
        <f ca="1"/>
        <v>0</v>
      </c>
      <c r="AM7" t="str">
        <f ca="1"/>
        <v>N/A</v>
      </c>
      <c r="AN7" t="str">
        <f ca="1"/>
        <v>NOLOC</v>
      </c>
      <c r="AO7" t="b">
        <f ca="1"/>
        <v>0</v>
      </c>
      <c r="AP7" t="b">
        <f ca="1"/>
        <v>0</v>
      </c>
      <c r="AQ7" t="b">
        <f ca="1"/>
        <v>0</v>
      </c>
      <c r="AR7" t="b">
        <f ca="1"/>
        <v>0</v>
      </c>
      <c r="AS7" t="b">
        <f ca="1"/>
        <v>0</v>
      </c>
      <c r="AT7" t="str">
        <f ca="1"/>
        <v>N/A</v>
      </c>
      <c r="AU7" t="str">
        <f ca="1"/>
        <v>NOLOC</v>
      </c>
      <c r="AV7" t="b">
        <f ca="1"/>
        <v>0</v>
      </c>
      <c r="AW7" t="b">
        <f ca="1"/>
        <v>0</v>
      </c>
      <c r="AX7" t="b">
        <f ca="1"/>
        <v>0</v>
      </c>
      <c r="AY7" t="b">
        <f ca="1"/>
        <v>0</v>
      </c>
      <c r="AZ7" t="b">
        <f ca="1"/>
        <v>0</v>
      </c>
      <c r="BA7" t="str">
        <f ca="1"/>
        <v>N/A</v>
      </c>
      <c r="BB7" t="str">
        <f ca="1"/>
        <v>NOLOC</v>
      </c>
      <c r="BC7" t="b">
        <f ca="1"/>
        <v>0</v>
      </c>
      <c r="BD7" t="b">
        <f ca="1"/>
        <v>0</v>
      </c>
      <c r="BE7" t="b">
        <f ca="1"/>
        <v>0</v>
      </c>
      <c r="BF7" t="b">
        <f ca="1"/>
        <v>0</v>
      </c>
      <c r="BG7" t="b">
        <f ca="1"/>
        <v>0</v>
      </c>
      <c r="BH7" t="str">
        <f ca="1"/>
        <v>N/A</v>
      </c>
      <c r="BI7">
        <f ca="1"/>
        <v>6</v>
      </c>
      <c r="BJ7">
        <f ca="1"/>
        <v>0</v>
      </c>
      <c r="BK7">
        <f ca="1"/>
        <v>0</v>
      </c>
      <c r="BL7" t="str">
        <f ca="1"/>
        <v>NODATA</v>
      </c>
      <c r="BM7" t="str">
        <f ca="1"/>
        <v>NODATA</v>
      </c>
      <c r="BN7" t="str">
        <f ca="1"/>
        <v>NODATA</v>
      </c>
      <c r="BO7" t="str">
        <f ca="1"/>
        <v>NODATA</v>
      </c>
      <c r="BP7" t="b">
        <f ca="1"/>
        <v>0</v>
      </c>
      <c r="BQ7" t="b">
        <f ca="1"/>
        <v>0</v>
      </c>
    </row>
    <row r="8" spans="1:69" x14ac:dyDescent="0.25">
      <c r="A8" t="str">
        <f ca="1"/>
        <v>8_22 Skyscraper_1</v>
      </c>
      <c r="B8">
        <f ca="1"/>
        <v>7</v>
      </c>
      <c r="C8" t="str">
        <f ca="1"/>
        <v>Defense</v>
      </c>
      <c r="D8" t="str">
        <f ca="1"/>
        <v>Aggro</v>
      </c>
      <c r="E8" t="str">
        <f ca="1"/>
        <v>Jager</v>
      </c>
      <c r="F8">
        <f ca="1"/>
        <v>158</v>
      </c>
      <c r="G8" t="str">
        <f ca="1"/>
        <v>Kiru</v>
      </c>
      <c r="H8" t="b">
        <f ca="1"/>
        <v>0</v>
      </c>
      <c r="I8" t="b">
        <f ca="1"/>
        <v>1</v>
      </c>
      <c r="J8" t="b">
        <f ca="1"/>
        <v>0</v>
      </c>
      <c r="K8" t="str">
        <f ca="1"/>
        <v>NOLOC</v>
      </c>
      <c r="L8" t="b">
        <f ca="1"/>
        <v>0</v>
      </c>
      <c r="M8" t="b">
        <f ca="1"/>
        <v>0</v>
      </c>
      <c r="N8">
        <f ca="1"/>
        <v>7</v>
      </c>
      <c r="O8">
        <f ca="1"/>
        <v>1</v>
      </c>
      <c r="P8">
        <f ca="1"/>
        <v>0</v>
      </c>
      <c r="Q8">
        <f ca="1"/>
        <v>0</v>
      </c>
      <c r="R8">
        <f ca="1"/>
        <v>0</v>
      </c>
      <c r="S8" t="b">
        <f ca="1"/>
        <v>1</v>
      </c>
      <c r="T8" t="b">
        <f ca="1"/>
        <v>1</v>
      </c>
      <c r="U8">
        <f ca="1"/>
        <v>7</v>
      </c>
      <c r="V8" t="b">
        <f ca="1"/>
        <v>0</v>
      </c>
      <c r="W8" t="b">
        <f ca="1"/>
        <v>1</v>
      </c>
      <c r="X8" t="b">
        <f ca="1"/>
        <v>0</v>
      </c>
      <c r="Y8" t="b">
        <f ca="1"/>
        <v>0</v>
      </c>
      <c r="Z8" t="str">
        <f ca="1"/>
        <v>UNKNOWN</v>
      </c>
      <c r="AA8" t="b">
        <f ca="1"/>
        <v>0</v>
      </c>
      <c r="AB8" t="str">
        <f ca="1"/>
        <v>Kouiyn</v>
      </c>
      <c r="AC8">
        <f ca="1"/>
        <v>50</v>
      </c>
      <c r="AD8" t="b">
        <f ca="1"/>
        <v>0</v>
      </c>
      <c r="AE8" t="b">
        <f ca="1"/>
        <v>0</v>
      </c>
      <c r="AF8" t="b">
        <f ca="1"/>
        <v>0</v>
      </c>
      <c r="AG8" t="str">
        <f ca="1"/>
        <v>NOLOC</v>
      </c>
      <c r="AH8" t="b">
        <f ca="1"/>
        <v>0</v>
      </c>
      <c r="AI8" t="b">
        <f ca="1"/>
        <v>0</v>
      </c>
      <c r="AJ8" t="b">
        <f ca="1"/>
        <v>0</v>
      </c>
      <c r="AK8" t="b">
        <f ca="1"/>
        <v>0</v>
      </c>
      <c r="AL8" t="b">
        <f ca="1"/>
        <v>0</v>
      </c>
      <c r="AM8" t="str">
        <f ca="1"/>
        <v>N/A</v>
      </c>
      <c r="AN8" t="str">
        <f ca="1"/>
        <v>NOLOC</v>
      </c>
      <c r="AO8" t="b">
        <f ca="1"/>
        <v>0</v>
      </c>
      <c r="AP8" t="b">
        <f ca="1"/>
        <v>0</v>
      </c>
      <c r="AQ8" t="b">
        <f ca="1"/>
        <v>0</v>
      </c>
      <c r="AR8" t="b">
        <f ca="1"/>
        <v>0</v>
      </c>
      <c r="AS8" t="b">
        <f ca="1"/>
        <v>0</v>
      </c>
      <c r="AT8" t="str">
        <f ca="1"/>
        <v>N/A</v>
      </c>
      <c r="AU8" t="str">
        <f ca="1"/>
        <v>NOLOC</v>
      </c>
      <c r="AV8" t="b">
        <f ca="1"/>
        <v>0</v>
      </c>
      <c r="AW8" t="b">
        <f ca="1"/>
        <v>0</v>
      </c>
      <c r="AX8" t="b">
        <f ca="1"/>
        <v>0</v>
      </c>
      <c r="AY8" t="b">
        <f ca="1"/>
        <v>0</v>
      </c>
      <c r="AZ8" t="b">
        <f ca="1"/>
        <v>0</v>
      </c>
      <c r="BA8" t="str">
        <f ca="1"/>
        <v>N/A</v>
      </c>
      <c r="BB8" t="str">
        <f ca="1"/>
        <v>NOLOC</v>
      </c>
      <c r="BC8" t="b">
        <f ca="1"/>
        <v>0</v>
      </c>
      <c r="BD8" t="b">
        <f ca="1"/>
        <v>0</v>
      </c>
      <c r="BE8" t="b">
        <f ca="1"/>
        <v>0</v>
      </c>
      <c r="BF8" t="b">
        <f ca="1"/>
        <v>0</v>
      </c>
      <c r="BG8" t="b">
        <f ca="1"/>
        <v>0</v>
      </c>
      <c r="BH8" t="str">
        <f ca="1"/>
        <v>N/A</v>
      </c>
      <c r="BI8">
        <f ca="1"/>
        <v>7</v>
      </c>
      <c r="BJ8">
        <f ca="1"/>
        <v>0</v>
      </c>
      <c r="BK8">
        <f ca="1"/>
        <v>0</v>
      </c>
      <c r="BL8" t="str">
        <f ca="1"/>
        <v>NODATA</v>
      </c>
      <c r="BM8" t="str">
        <f ca="1"/>
        <v>NODATA</v>
      </c>
      <c r="BN8" t="str">
        <f ca="1"/>
        <v>NODATA</v>
      </c>
      <c r="BO8" t="str">
        <f ca="1"/>
        <v>NODATA</v>
      </c>
      <c r="BP8" t="str">
        <f ca="1"/>
        <v/>
      </c>
      <c r="BQ8" t="str">
        <f ca="1"/>
        <v/>
      </c>
    </row>
    <row r="9" spans="1:69" x14ac:dyDescent="0.25">
      <c r="A9" t="str">
        <f ca="1"/>
        <v>8_22 Skyscraper_1</v>
      </c>
      <c r="B9">
        <f ca="1"/>
        <v>8</v>
      </c>
      <c r="C9" t="str">
        <f ca="1"/>
        <v>Defense</v>
      </c>
      <c r="D9" t="str">
        <f ca="1"/>
        <v>Aggro</v>
      </c>
      <c r="E9" t="str">
        <f ca="1"/>
        <v>Jager</v>
      </c>
      <c r="F9" t="b">
        <f ca="1"/>
        <v>0</v>
      </c>
      <c r="G9" t="b">
        <f ca="1"/>
        <v>0</v>
      </c>
      <c r="H9" t="str">
        <f ca="1"/>
        <v>N/A</v>
      </c>
      <c r="I9" t="str">
        <f ca="1"/>
        <v>N/A</v>
      </c>
      <c r="J9" t="b">
        <f ca="1"/>
        <v>0</v>
      </c>
      <c r="K9" t="str">
        <f ca="1"/>
        <v>NOLOC</v>
      </c>
      <c r="L9" t="b">
        <f ca="1"/>
        <v>0</v>
      </c>
      <c r="M9" t="b">
        <f ca="1"/>
        <v>0</v>
      </c>
      <c r="N9">
        <f ca="1"/>
        <v>8</v>
      </c>
      <c r="O9">
        <f ca="1"/>
        <v>1</v>
      </c>
      <c r="P9">
        <f ca="1"/>
        <v>1</v>
      </c>
      <c r="Q9">
        <f ca="1"/>
        <v>0</v>
      </c>
      <c r="R9">
        <f ca="1"/>
        <v>0</v>
      </c>
      <c r="S9" t="b">
        <f ca="1"/>
        <v>0</v>
      </c>
      <c r="T9" t="b">
        <f ca="1"/>
        <v>0</v>
      </c>
      <c r="U9">
        <f ca="1"/>
        <v>8</v>
      </c>
      <c r="V9" t="b">
        <f ca="1"/>
        <v>0</v>
      </c>
      <c r="W9" t="b">
        <f ca="1"/>
        <v>1</v>
      </c>
      <c r="X9" t="b">
        <f ca="1"/>
        <v>0</v>
      </c>
      <c r="Y9" t="b">
        <f ca="1"/>
        <v>0</v>
      </c>
      <c r="Z9" t="str">
        <f ca="1"/>
        <v>NOLOC</v>
      </c>
      <c r="AA9" t="b">
        <f ca="1"/>
        <v>0</v>
      </c>
      <c r="AB9" t="b">
        <f ca="1"/>
        <v>0</v>
      </c>
      <c r="AC9" t="b">
        <f ca="1"/>
        <v>0</v>
      </c>
      <c r="AD9" t="b">
        <f ca="1"/>
        <v>0</v>
      </c>
      <c r="AE9" t="b">
        <f ca="1"/>
        <v>0</v>
      </c>
      <c r="AF9" t="str">
        <f ca="1"/>
        <v>N/A</v>
      </c>
      <c r="AG9" t="str">
        <f ca="1"/>
        <v>NOLOC</v>
      </c>
      <c r="AH9" t="b">
        <f ca="1"/>
        <v>0</v>
      </c>
      <c r="AI9" t="b">
        <f ca="1"/>
        <v>0</v>
      </c>
      <c r="AJ9" t="b">
        <f ca="1"/>
        <v>0</v>
      </c>
      <c r="AK9" t="b">
        <f ca="1"/>
        <v>0</v>
      </c>
      <c r="AL9" t="b">
        <f ca="1"/>
        <v>0</v>
      </c>
      <c r="AM9" t="str">
        <f ca="1"/>
        <v>N/A</v>
      </c>
      <c r="AN9" t="str">
        <f ca="1"/>
        <v>NOLOC</v>
      </c>
      <c r="AO9" t="b">
        <f ca="1"/>
        <v>0</v>
      </c>
      <c r="AP9" t="b">
        <f ca="1"/>
        <v>0</v>
      </c>
      <c r="AQ9" t="b">
        <f ca="1"/>
        <v>0</v>
      </c>
      <c r="AR9" t="b">
        <f ca="1"/>
        <v>0</v>
      </c>
      <c r="AS9" t="b">
        <f ca="1"/>
        <v>0</v>
      </c>
      <c r="AT9" t="str">
        <f ca="1"/>
        <v>N/A</v>
      </c>
      <c r="AU9" t="str">
        <f ca="1"/>
        <v>NOLOC</v>
      </c>
      <c r="AV9" t="b">
        <f ca="1"/>
        <v>0</v>
      </c>
      <c r="AW9" t="b">
        <f ca="1"/>
        <v>0</v>
      </c>
      <c r="AX9" t="b">
        <f ca="1"/>
        <v>0</v>
      </c>
      <c r="AY9" t="b">
        <f ca="1"/>
        <v>0</v>
      </c>
      <c r="AZ9" t="b">
        <f ca="1"/>
        <v>0</v>
      </c>
      <c r="BA9" t="str">
        <f ca="1"/>
        <v>N/A</v>
      </c>
      <c r="BB9" t="str">
        <f ca="1"/>
        <v>UNKNOWN</v>
      </c>
      <c r="BC9" t="b">
        <f ca="1"/>
        <v>0</v>
      </c>
      <c r="BD9" t="str">
        <f ca="1"/>
        <v>Kouiyn</v>
      </c>
      <c r="BE9">
        <f ca="1"/>
        <v>93</v>
      </c>
      <c r="BF9" t="b">
        <f ca="1"/>
        <v>0</v>
      </c>
      <c r="BG9" t="b">
        <f ca="1"/>
        <v>1</v>
      </c>
      <c r="BH9" t="b">
        <f ca="1"/>
        <v>0</v>
      </c>
      <c r="BI9">
        <f ca="1"/>
        <v>8</v>
      </c>
      <c r="BJ9">
        <f ca="1"/>
        <v>0</v>
      </c>
      <c r="BK9">
        <f ca="1"/>
        <v>0</v>
      </c>
      <c r="BL9" t="str">
        <f ca="1"/>
        <v>NODATA</v>
      </c>
      <c r="BM9" t="str">
        <f ca="1"/>
        <v>NODATA</v>
      </c>
      <c r="BN9" t="str">
        <f ca="1"/>
        <v>NODATA</v>
      </c>
      <c r="BO9" t="str">
        <f ca="1"/>
        <v>NODATA</v>
      </c>
      <c r="BP9" t="str">
        <f ca="1"/>
        <v/>
      </c>
      <c r="BQ9" t="str">
        <f ca="1"/>
        <v/>
      </c>
    </row>
    <row r="10" spans="1:69" x14ac:dyDescent="0.25">
      <c r="A10" t="str">
        <f ca="1"/>
        <v>8_22 Skyscraper_1</v>
      </c>
      <c r="B10">
        <f ca="1"/>
        <v>9</v>
      </c>
      <c r="C10" t="str">
        <f ca="1"/>
        <v>Defense</v>
      </c>
      <c r="D10" t="str">
        <f ca="1"/>
        <v>Aggro</v>
      </c>
      <c r="E10" t="str">
        <f ca="1"/>
        <v>Jager</v>
      </c>
      <c r="F10">
        <f ca="1"/>
        <v>146</v>
      </c>
      <c r="G10" t="str">
        <f ca="1"/>
        <v>Kiru</v>
      </c>
      <c r="H10" t="b">
        <f ca="1"/>
        <v>0</v>
      </c>
      <c r="I10" t="b">
        <f ca="1"/>
        <v>0</v>
      </c>
      <c r="J10" t="b">
        <f ca="1"/>
        <v>0</v>
      </c>
      <c r="K10" t="str">
        <f ca="1"/>
        <v>NOLOC</v>
      </c>
      <c r="L10" t="b">
        <f ca="1"/>
        <v>0</v>
      </c>
      <c r="M10" t="b">
        <f ca="1"/>
        <v>0</v>
      </c>
      <c r="N10">
        <f ca="1"/>
        <v>9</v>
      </c>
      <c r="O10">
        <f ca="1"/>
        <v>1</v>
      </c>
      <c r="P10">
        <f ca="1"/>
        <v>0</v>
      </c>
      <c r="Q10">
        <f ca="1"/>
        <v>0</v>
      </c>
      <c r="R10">
        <f ca="1"/>
        <v>0</v>
      </c>
      <c r="S10" t="b">
        <f ca="1"/>
        <v>0</v>
      </c>
      <c r="T10" t="b">
        <f ca="1"/>
        <v>1</v>
      </c>
      <c r="U10">
        <f ca="1"/>
        <v>9</v>
      </c>
      <c r="V10" t="b">
        <f ca="1"/>
        <v>0</v>
      </c>
      <c r="W10" t="b">
        <f ca="1"/>
        <v>1</v>
      </c>
      <c r="X10" t="b">
        <f ca="1"/>
        <v>0</v>
      </c>
      <c r="Y10" t="b">
        <f ca="1"/>
        <v>0</v>
      </c>
      <c r="Z10" t="str">
        <f ca="1"/>
        <v>UNKNOWN</v>
      </c>
      <c r="AA10" t="b">
        <f ca="1"/>
        <v>0</v>
      </c>
      <c r="AB10" t="str">
        <f ca="1"/>
        <v>Kouiyn</v>
      </c>
      <c r="AC10">
        <f ca="1"/>
        <v>93</v>
      </c>
      <c r="AD10" t="b">
        <f ca="1"/>
        <v>0</v>
      </c>
      <c r="AE10" t="b">
        <f ca="1"/>
        <v>0</v>
      </c>
      <c r="AF10" t="b">
        <f ca="1"/>
        <v>0</v>
      </c>
      <c r="AG10" t="str">
        <f ca="1"/>
        <v>NOLOC</v>
      </c>
      <c r="AH10" t="b">
        <f ca="1"/>
        <v>0</v>
      </c>
      <c r="AI10" t="b">
        <f ca="1"/>
        <v>0</v>
      </c>
      <c r="AJ10" t="b">
        <f ca="1"/>
        <v>0</v>
      </c>
      <c r="AK10" t="b">
        <f ca="1"/>
        <v>0</v>
      </c>
      <c r="AL10" t="b">
        <f ca="1"/>
        <v>0</v>
      </c>
      <c r="AM10" t="str">
        <f ca="1"/>
        <v>N/A</v>
      </c>
      <c r="AN10" t="str">
        <f ca="1"/>
        <v>NOLOC</v>
      </c>
      <c r="AO10" t="b">
        <f ca="1"/>
        <v>0</v>
      </c>
      <c r="AP10" t="b">
        <f ca="1"/>
        <v>0</v>
      </c>
      <c r="AQ10" t="b">
        <f ca="1"/>
        <v>0</v>
      </c>
      <c r="AR10" t="b">
        <f ca="1"/>
        <v>0</v>
      </c>
      <c r="AS10" t="b">
        <f ca="1"/>
        <v>0</v>
      </c>
      <c r="AT10" t="str">
        <f ca="1"/>
        <v>N/A</v>
      </c>
      <c r="AU10" t="str">
        <f ca="1"/>
        <v>NOLOC</v>
      </c>
      <c r="AV10" t="b">
        <f ca="1"/>
        <v>0</v>
      </c>
      <c r="AW10" t="b">
        <f ca="1"/>
        <v>0</v>
      </c>
      <c r="AX10" t="b">
        <f ca="1"/>
        <v>0</v>
      </c>
      <c r="AY10" t="b">
        <f ca="1"/>
        <v>0</v>
      </c>
      <c r="AZ10" t="b">
        <f ca="1"/>
        <v>0</v>
      </c>
      <c r="BA10" t="str">
        <f ca="1"/>
        <v>N/A</v>
      </c>
      <c r="BB10" t="str">
        <f ca="1"/>
        <v>NOLOC</v>
      </c>
      <c r="BC10" t="b">
        <f ca="1"/>
        <v>0</v>
      </c>
      <c r="BD10" t="b">
        <f ca="1"/>
        <v>0</v>
      </c>
      <c r="BE10" t="b">
        <f ca="1"/>
        <v>0</v>
      </c>
      <c r="BF10" t="b">
        <f ca="1"/>
        <v>0</v>
      </c>
      <c r="BG10" t="b">
        <f ca="1"/>
        <v>0</v>
      </c>
      <c r="BH10" t="str">
        <f ca="1"/>
        <v>N/A</v>
      </c>
      <c r="BI10">
        <f ca="1"/>
        <v>9</v>
      </c>
      <c r="BJ10">
        <f ca="1"/>
        <v>0</v>
      </c>
      <c r="BK10">
        <f ca="1"/>
        <v>0</v>
      </c>
      <c r="BL10" t="str">
        <f ca="1"/>
        <v>NODATA</v>
      </c>
      <c r="BM10" t="str">
        <f ca="1"/>
        <v>NODATA</v>
      </c>
      <c r="BN10" t="str">
        <f ca="1"/>
        <v>NODATA</v>
      </c>
      <c r="BO10" t="str">
        <f ca="1"/>
        <v>NODATA</v>
      </c>
      <c r="BP10" t="str">
        <f ca="1"/>
        <v/>
      </c>
      <c r="BQ10" t="str">
        <f ca="1"/>
        <v/>
      </c>
    </row>
    <row r="11" spans="1:69" x14ac:dyDescent="0.25">
      <c r="A11" t="str">
        <f ca="1"/>
        <v>8_22 Skyscraper_1</v>
      </c>
      <c r="B11">
        <f ca="1"/>
        <v>10</v>
      </c>
      <c r="C11" t="str">
        <f ca="1"/>
        <v>Defense</v>
      </c>
      <c r="D11" t="str">
        <f ca="1"/>
        <v>Aggro</v>
      </c>
      <c r="E11" t="str">
        <f ca="1"/>
        <v>Mozzie</v>
      </c>
      <c r="F11">
        <f ca="1"/>
        <v>89</v>
      </c>
      <c r="G11" t="str">
        <f ca="1"/>
        <v>Kiru</v>
      </c>
      <c r="H11" t="b">
        <f ca="1"/>
        <v>0</v>
      </c>
      <c r="I11" t="b">
        <f ca="1"/>
        <v>1</v>
      </c>
      <c r="J11" t="b">
        <f ca="1"/>
        <v>0</v>
      </c>
      <c r="K11" t="str">
        <f ca="1"/>
        <v>NOLOC</v>
      </c>
      <c r="L11" t="b">
        <f ca="1"/>
        <v>0</v>
      </c>
      <c r="M11" t="b">
        <f ca="1"/>
        <v>0</v>
      </c>
      <c r="N11">
        <f ca="1"/>
        <v>10</v>
      </c>
      <c r="O11">
        <f ca="1"/>
        <v>2</v>
      </c>
      <c r="P11">
        <f ca="1"/>
        <v>1</v>
      </c>
      <c r="Q11">
        <f ca="1"/>
        <v>0</v>
      </c>
      <c r="R11">
        <f ca="1"/>
        <v>0</v>
      </c>
      <c r="S11" t="b">
        <f ca="1"/>
        <v>1</v>
      </c>
      <c r="T11" t="b">
        <f ca="1"/>
        <v>1</v>
      </c>
      <c r="U11">
        <f ca="1"/>
        <v>10</v>
      </c>
      <c r="V11" t="b">
        <f ca="1"/>
        <v>0</v>
      </c>
      <c r="W11" t="b">
        <f ca="1"/>
        <v>1</v>
      </c>
      <c r="X11" t="b">
        <f ca="1"/>
        <v>0</v>
      </c>
      <c r="Y11" t="b">
        <f ca="1"/>
        <v>0</v>
      </c>
      <c r="Z11" t="str">
        <f ca="1"/>
        <v>UNKNOWN</v>
      </c>
      <c r="AA11" t="b">
        <f ca="1"/>
        <v>0</v>
      </c>
      <c r="AB11" t="str">
        <f ca="1"/>
        <v>Kouiyn</v>
      </c>
      <c r="AC11">
        <f ca="1"/>
        <v>34</v>
      </c>
      <c r="AD11" t="b">
        <f ca="1"/>
        <v>0</v>
      </c>
      <c r="AE11" t="b">
        <f ca="1"/>
        <v>1</v>
      </c>
      <c r="AF11" t="b">
        <f ca="1"/>
        <v>0</v>
      </c>
      <c r="AG11" t="str">
        <f ca="1"/>
        <v>NOLOC</v>
      </c>
      <c r="AH11" t="b">
        <f ca="1"/>
        <v>0</v>
      </c>
      <c r="AI11" t="b">
        <f ca="1"/>
        <v>0</v>
      </c>
      <c r="AJ11" t="b">
        <f ca="1"/>
        <v>0</v>
      </c>
      <c r="AK11" t="b">
        <f ca="1"/>
        <v>0</v>
      </c>
      <c r="AL11" t="b">
        <f ca="1"/>
        <v>0</v>
      </c>
      <c r="AM11" t="str">
        <f ca="1"/>
        <v>N/A</v>
      </c>
      <c r="AN11" t="str">
        <f ca="1"/>
        <v>NOLOC</v>
      </c>
      <c r="AO11" t="b">
        <f ca="1"/>
        <v>0</v>
      </c>
      <c r="AP11" t="b">
        <f ca="1"/>
        <v>0</v>
      </c>
      <c r="AQ11" t="b">
        <f ca="1"/>
        <v>0</v>
      </c>
      <c r="AR11" t="b">
        <f ca="1"/>
        <v>0</v>
      </c>
      <c r="AS11" t="b">
        <f ca="1"/>
        <v>0</v>
      </c>
      <c r="AT11" t="str">
        <f ca="1"/>
        <v>N/A</v>
      </c>
      <c r="AU11" t="str">
        <f ca="1"/>
        <v>UNKNOWN</v>
      </c>
      <c r="AV11" t="b">
        <f ca="1"/>
        <v>0</v>
      </c>
      <c r="AW11" t="str">
        <f ca="1"/>
        <v>Floofs</v>
      </c>
      <c r="AX11">
        <f ca="1"/>
        <v>154</v>
      </c>
      <c r="AY11" t="b">
        <f ca="1"/>
        <v>0</v>
      </c>
      <c r="AZ11" t="b">
        <f ca="1"/>
        <v>0</v>
      </c>
      <c r="BA11" t="b">
        <f ca="1"/>
        <v>0</v>
      </c>
      <c r="BB11" t="str">
        <f ca="1"/>
        <v>NOLOC</v>
      </c>
      <c r="BC11" t="b">
        <f ca="1"/>
        <v>0</v>
      </c>
      <c r="BD11" t="b">
        <f ca="1"/>
        <v>0</v>
      </c>
      <c r="BE11" t="b">
        <f ca="1"/>
        <v>0</v>
      </c>
      <c r="BF11" t="b">
        <f ca="1"/>
        <v>0</v>
      </c>
      <c r="BG11" t="b">
        <f ca="1"/>
        <v>0</v>
      </c>
      <c r="BH11" t="str">
        <f ca="1"/>
        <v>N/A</v>
      </c>
      <c r="BI11">
        <f ca="1"/>
        <v>10</v>
      </c>
      <c r="BJ11">
        <f ca="1"/>
        <v>0</v>
      </c>
      <c r="BK11">
        <f ca="1"/>
        <v>0</v>
      </c>
      <c r="BL11" t="str">
        <f ca="1"/>
        <v>NODATA</v>
      </c>
      <c r="BM11" t="str">
        <f ca="1"/>
        <v>NODATA</v>
      </c>
      <c r="BN11" t="str">
        <f ca="1"/>
        <v>NODATA</v>
      </c>
      <c r="BO11" t="str">
        <f ca="1"/>
        <v>NODATA</v>
      </c>
      <c r="BP11" t="str">
        <f ca="1"/>
        <v/>
      </c>
      <c r="BQ11" t="str">
        <f ca="1"/>
        <v/>
      </c>
    </row>
    <row r="12" spans="1:69" x14ac:dyDescent="0.25">
      <c r="A12" t="str">
        <f ca="1"/>
        <v>8_22 Skyscraper_1</v>
      </c>
      <c r="B12">
        <f ca="1"/>
        <v>11</v>
      </c>
      <c r="C12" t="str">
        <f ca="1"/>
        <v>Defense</v>
      </c>
      <c r="D12" t="str">
        <f ca="1"/>
        <v>Aggro</v>
      </c>
      <c r="E12" t="str">
        <f ca="1"/>
        <v>Kaid</v>
      </c>
      <c r="F12" t="b">
        <f ca="1"/>
        <v>0</v>
      </c>
      <c r="G12" t="b">
        <f ca="1"/>
        <v>0</v>
      </c>
      <c r="H12" t="str">
        <f ca="1"/>
        <v>N/A</v>
      </c>
      <c r="I12" t="str">
        <f ca="1"/>
        <v>N/A</v>
      </c>
      <c r="J12" t="b">
        <f ca="1"/>
        <v>0</v>
      </c>
      <c r="K12" t="str">
        <f ca="1"/>
        <v>NOLOC</v>
      </c>
      <c r="L12" t="b">
        <f ca="1"/>
        <v>0</v>
      </c>
      <c r="M12" t="b">
        <f ca="1"/>
        <v>0</v>
      </c>
      <c r="N12">
        <f ca="1"/>
        <v>11</v>
      </c>
      <c r="O12">
        <f ca="1"/>
        <v>0</v>
      </c>
      <c r="P12">
        <f ca="1"/>
        <v>0</v>
      </c>
      <c r="Q12">
        <f ca="1"/>
        <v>0</v>
      </c>
      <c r="R12">
        <f ca="1"/>
        <v>0</v>
      </c>
      <c r="S12" t="b">
        <f ca="1"/>
        <v>0</v>
      </c>
      <c r="T12" t="b">
        <f ca="1"/>
        <v>0</v>
      </c>
      <c r="U12">
        <f ca="1"/>
        <v>11</v>
      </c>
      <c r="V12" t="b">
        <f ca="1"/>
        <v>0</v>
      </c>
      <c r="W12" t="b">
        <f ca="1"/>
        <v>1</v>
      </c>
      <c r="X12" t="b">
        <f ca="1"/>
        <v>0</v>
      </c>
      <c r="Y12" t="b">
        <f ca="1"/>
        <v>0</v>
      </c>
      <c r="Z12" t="str">
        <f ca="1"/>
        <v>NOLOC</v>
      </c>
      <c r="AA12" t="b">
        <f ca="1"/>
        <v>0</v>
      </c>
      <c r="AB12" t="b">
        <f ca="1"/>
        <v>0</v>
      </c>
      <c r="AC12" t="b">
        <f ca="1"/>
        <v>0</v>
      </c>
      <c r="AD12" t="b">
        <f ca="1"/>
        <v>0</v>
      </c>
      <c r="AE12" t="b">
        <f ca="1"/>
        <v>0</v>
      </c>
      <c r="AF12" t="str">
        <f ca="1"/>
        <v>N/A</v>
      </c>
      <c r="AG12" t="str">
        <f ca="1"/>
        <v>NOLOC</v>
      </c>
      <c r="AH12" t="b">
        <f ca="1"/>
        <v>0</v>
      </c>
      <c r="AI12" t="b">
        <f ca="1"/>
        <v>0</v>
      </c>
      <c r="AJ12" t="b">
        <f ca="1"/>
        <v>0</v>
      </c>
      <c r="AK12" t="b">
        <f ca="1"/>
        <v>0</v>
      </c>
      <c r="AL12" t="b">
        <f ca="1"/>
        <v>0</v>
      </c>
      <c r="AM12" t="str">
        <f ca="1"/>
        <v>N/A</v>
      </c>
      <c r="AN12" t="str">
        <f ca="1"/>
        <v>NOLOC</v>
      </c>
      <c r="AO12" t="b">
        <f ca="1"/>
        <v>0</v>
      </c>
      <c r="AP12" t="b">
        <f ca="1"/>
        <v>0</v>
      </c>
      <c r="AQ12" t="b">
        <f ca="1"/>
        <v>0</v>
      </c>
      <c r="AR12" t="b">
        <f ca="1"/>
        <v>0</v>
      </c>
      <c r="AS12" t="b">
        <f ca="1"/>
        <v>0</v>
      </c>
      <c r="AT12" t="str">
        <f ca="1"/>
        <v>N/A</v>
      </c>
      <c r="AU12" t="str">
        <f ca="1"/>
        <v>NOLOC</v>
      </c>
      <c r="AV12" t="b">
        <f ca="1"/>
        <v>0</v>
      </c>
      <c r="AW12" t="b">
        <f ca="1"/>
        <v>0</v>
      </c>
      <c r="AX12" t="b">
        <f ca="1"/>
        <v>0</v>
      </c>
      <c r="AY12" t="b">
        <f ca="1"/>
        <v>0</v>
      </c>
      <c r="AZ12" t="b">
        <f ca="1"/>
        <v>0</v>
      </c>
      <c r="BA12" t="str">
        <f ca="1"/>
        <v>N/A</v>
      </c>
      <c r="BB12" t="str">
        <f ca="1"/>
        <v>NOLOC</v>
      </c>
      <c r="BC12" t="b">
        <f ca="1"/>
        <v>0</v>
      </c>
      <c r="BD12" t="b">
        <f ca="1"/>
        <v>0</v>
      </c>
      <c r="BE12" t="b">
        <f ca="1"/>
        <v>0</v>
      </c>
      <c r="BF12" t="b">
        <f ca="1"/>
        <v>0</v>
      </c>
      <c r="BG12" t="b">
        <f ca="1"/>
        <v>0</v>
      </c>
      <c r="BH12" t="str">
        <f ca="1"/>
        <v>N/A</v>
      </c>
      <c r="BI12">
        <f ca="1"/>
        <v>11</v>
      </c>
      <c r="BJ12">
        <f ca="1"/>
        <v>0</v>
      </c>
      <c r="BK12">
        <f ca="1"/>
        <v>0</v>
      </c>
      <c r="BL12" t="str">
        <f ca="1"/>
        <v>NODATA</v>
      </c>
      <c r="BM12" t="str">
        <f ca="1"/>
        <v>NODATA</v>
      </c>
      <c r="BN12" t="str">
        <f ca="1"/>
        <v>NODATA</v>
      </c>
      <c r="BO12" t="str">
        <f ca="1"/>
        <v>NODATA</v>
      </c>
      <c r="BP12" t="str">
        <f ca="1"/>
        <v/>
      </c>
      <c r="BQ12" t="str">
        <f ca="1"/>
        <v/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8_22 Skyscraper_1</vt:lpstr>
      <vt:lpstr>PLAN</vt:lpstr>
      <vt:lpstr>REF</vt:lpstr>
      <vt:lpstr>CALLOUTMAP</vt:lpstr>
      <vt:lpstr>MATCHMETADATA</vt:lpstr>
      <vt:lpstr>MATCHINFO</vt:lpstr>
      <vt:lpstr>TEAMKILL</vt:lpstr>
      <vt:lpstr>PLAYER1PULL</vt:lpstr>
      <vt:lpstr>PLAYER2PULL</vt:lpstr>
      <vt:lpstr>PLAYER3PULL</vt:lpstr>
      <vt:lpstr>PLAYER4PULL</vt:lpstr>
      <vt:lpstr>PLAYER5PULL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Autumn</dc:creator>
  <cp:lastModifiedBy>Autumn</cp:lastModifiedBy>
  <dcterms:created xsi:type="dcterms:W3CDTF">2022-06-20T00:14:18Z</dcterms:created>
  <dcterms:modified xsi:type="dcterms:W3CDTF">2022-10-18T22:49:56Z</dcterms:modified>
</cp:coreProperties>
</file>